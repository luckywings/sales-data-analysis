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6265cdb6a0ac4d/"/>
    </mc:Choice>
  </mc:AlternateContent>
  <xr:revisionPtr revIDLastSave="0" documentId="8_{B74E52EF-9A17-442C-B89E-86FC8F16C2B5}" xr6:coauthVersionLast="47" xr6:coauthVersionMax="47" xr10:uidLastSave="{00000000-0000-0000-0000-000000000000}"/>
  <bookViews>
    <workbookView xWindow="-108" yWindow="-108" windowWidth="23256" windowHeight="12456" tabRatio="811" activeTab="3" xr2:uid="{8FAD63BF-EC68-483D-9D85-9C98B81BDC58}"/>
  </bookViews>
  <sheets>
    <sheet name="Sheet2" sheetId="3" r:id="rId1"/>
    <sheet name="Sheet3" sheetId="4" r:id="rId2"/>
    <sheet name="Sheet5" sheetId="6" r:id="rId3"/>
    <sheet name="dashboard" sheetId="7" r:id="rId4"/>
    <sheet name="sales_data_analysis" sheetId="1" r:id="rId5"/>
  </sheets>
  <definedNames>
    <definedName name="_xlnm._FilterDatabase" localSheetId="3" hidden="1">dashboard!$C$1:$C$2</definedName>
  </definedNames>
  <calcPr calcId="0"/>
  <pivotCaches>
    <pivotCache cacheId="17" r:id="rId6"/>
  </pivotCaches>
</workbook>
</file>

<file path=xl/calcChain.xml><?xml version="1.0" encoding="utf-8"?>
<calcChain xmlns="http://schemas.openxmlformats.org/spreadsheetml/2006/main">
  <c r="A2" i="7" l="1"/>
  <c r="C2" i="7"/>
  <c r="B2" i="7"/>
  <c r="H123" i="1"/>
  <c r="G123" i="1"/>
  <c r="F123" i="1"/>
</calcChain>
</file>

<file path=xl/sharedStrings.xml><?xml version="1.0" encoding="utf-8"?>
<sst xmlns="http://schemas.openxmlformats.org/spreadsheetml/2006/main" count="275" uniqueCount="29">
  <si>
    <t>Date</t>
  </si>
  <si>
    <t>Product</t>
  </si>
  <si>
    <t>Region</t>
  </si>
  <si>
    <t>Quantity</t>
  </si>
  <si>
    <t>Unit_Price</t>
  </si>
  <si>
    <t>Sales</t>
  </si>
  <si>
    <t>Profit</t>
  </si>
  <si>
    <t>Keyboard</t>
  </si>
  <si>
    <t>South</t>
  </si>
  <si>
    <t>Mouse</t>
  </si>
  <si>
    <t>North</t>
  </si>
  <si>
    <t>Headphones</t>
  </si>
  <si>
    <t>West</t>
  </si>
  <si>
    <t>East</t>
  </si>
  <si>
    <t>Mobile</t>
  </si>
  <si>
    <t>Monitor</t>
  </si>
  <si>
    <t>Laptop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</si>
  <si>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</si>
  <si>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</si>
  <si>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</si>
  <si>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</si>
  <si>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</si>
  <si>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</si>
  <si>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</si>
  <si>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</si>
  <si>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</si>
  <si>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Total_Sales</t>
  </si>
  <si>
    <t>Total_profit</t>
  </si>
  <si>
    <t>Average_Sales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</si>
</sst>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[sales_data_analysis_DASHBOARD.csv.xlsx]Sheet2!PivotTable1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336800</c:v>
                </c:pt>
                <c:pt idx="1">
                  <c:v>407500</c:v>
                </c:pt>
                <c:pt idx="2">
                  <c:v>310400</c:v>
                </c:pt>
                <c:pt idx="3">
                  <c:v>318000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A-4112-B760-02CF138D8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032736"/>
        <c:axId val="810799984"/>
      </c:barChart>
      <c:catAx>
        <c:axId val="12780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99984"/>
        <c:crosses val="autoZero"/>
        <c:auto val="1"/>
        <c:lblAlgn val="ctr"/>
        <c:lblOffset val="100"/>
        <c:noMultiLvlLbl val="0"/>
      </c:catAx>
      <c:valAx>
        <c:axId val="8107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0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[sales_data_analysis_DASHBOARD.csv.xlsx]Sheet3!PivotTable3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-wise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119300</c:v>
                </c:pt>
                <c:pt idx="1">
                  <c:v>381800</c:v>
                </c:pt>
                <c:pt idx="2">
                  <c:v>251500</c:v>
                </c:pt>
                <c:pt idx="3">
                  <c:v>278500</c:v>
                </c:pt>
                <c:pt idx="4">
                  <c:v>212700</c:v>
                </c:pt>
                <c:pt idx="5">
                  <c:v>128900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D-4B67-9FE5-E87A760F3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369296"/>
        <c:axId val="810821584"/>
      </c:barChart>
      <c:catAx>
        <c:axId val="12623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21584"/>
        <c:crosses val="autoZero"/>
        <c:auto val="1"/>
        <c:lblAlgn val="ctr"/>
        <c:lblOffset val="100"/>
        <c:noMultiLvlLbl val="0"/>
      </c:catAx>
      <c:valAx>
        <c:axId val="8108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6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[sales_data_analysis_DASHBOARD.csv.xlsx]Sheet5!PivotTable5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Month-wisw 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200800</c:v>
                </c:pt>
                <c:pt idx="1">
                  <c:v>250800</c:v>
                </c:pt>
                <c:pt idx="2">
                  <c:v>183000</c:v>
                </c:pt>
                <c:pt idx="3">
                  <c:v>247300</c:v>
                </c:pt>
                <c:pt idx="4">
                  <c:v>264000</c:v>
                </c:pt>
                <c:pt idx="5">
                  <c:v>226800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8-47CD-A663-A214BE055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271536"/>
        <c:axId val="797036528"/>
      </c:barChart>
      <c:catAx>
        <c:axId val="12812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36528"/>
        <c:crosses val="autoZero"/>
        <c:auto val="1"/>
        <c:lblAlgn val="ctr"/>
        <c:lblOffset val="100"/>
        <c:noMultiLvlLbl val="0"/>
      </c:catAx>
      <c:valAx>
        <c:axId val="797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[sales_data_analysis_DASHBOARD.csv.xlsx]Sheet2!PivotTable1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</a:t>
            </a:r>
            <a:r>
              <a:rPr lang="en-IN" baseline="0"/>
              <a:t>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336800</c:v>
                </c:pt>
                <c:pt idx="1">
                  <c:v>407500</c:v>
                </c:pt>
                <c:pt idx="2">
                  <c:v>310400</c:v>
                </c:pt>
                <c:pt idx="3">
                  <c:v>318000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3-470E-9BA8-0731F407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032736"/>
        <c:axId val="810799984"/>
      </c:barChart>
      <c:catAx>
        <c:axId val="12780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99984"/>
        <c:crosses val="autoZero"/>
        <c:auto val="1"/>
        <c:lblAlgn val="ctr"/>
        <c:lblOffset val="100"/>
        <c:noMultiLvlLbl val="0"/>
      </c:catAx>
      <c:valAx>
        <c:axId val="8107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0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[sales_data_analysis_DASHBOARD.csv.xlsx]Sheet3!PivotTable3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PRODUCT-WISE CHART </a:t>
            </a:r>
            <a:endParaRPr lang="en-IN"/>
          </a:p>
        </c:rich>
      </c:tx>
      <c:overlay val="0"/>
      <c:spPr>
        <a:noFill/>
        <a:ln cap="flat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119300</c:v>
                </c:pt>
                <c:pt idx="1">
                  <c:v>381800</c:v>
                </c:pt>
                <c:pt idx="2">
                  <c:v>251500</c:v>
                </c:pt>
                <c:pt idx="3">
                  <c:v>278500</c:v>
                </c:pt>
                <c:pt idx="4">
                  <c:v>212700</c:v>
                </c:pt>
                <c:pt idx="5">
                  <c:v>128900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2-41EE-BCBE-7ADA3F636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369296"/>
        <c:axId val="810821584"/>
      </c:barChart>
      <c:catAx>
        <c:axId val="12623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21584"/>
        <c:crosses val="autoZero"/>
        <c:auto val="1"/>
        <c:lblAlgn val="ctr"/>
        <c:lblOffset val="100"/>
        <c:noMultiLvlLbl val="0"/>
      </c:catAx>
      <c:valAx>
        <c:axId val="8108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6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[sales_data_analysis_DASHBOARD.csv.xlsx]Sheet5!PivotTable5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MONTH-WISE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200800</c:v>
                </c:pt>
                <c:pt idx="1">
                  <c:v>250800</c:v>
                </c:pt>
                <c:pt idx="2">
                  <c:v>183000</c:v>
                </c:pt>
                <c:pt idx="3">
                  <c:v>247300</c:v>
                </c:pt>
                <c:pt idx="4">
                  <c:v>264000</c:v>
                </c:pt>
                <c:pt idx="5">
                  <c:v>226800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A-4B2D-97F4-6EC1E37D2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271536"/>
        <c:axId val="797036528"/>
      </c:barChart>
      <c:catAx>
        <c:axId val="128127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036528"/>
        <c:crosses val="autoZero"/>
        <c:auto val="1"/>
        <c:lblAlgn val="ctr"/>
        <c:lblOffset val="100"/>
        <c:noMultiLvlLbl val="0"/>
      </c:catAx>
      <c:valAx>
        <c:axId val="797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7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DAD09D-A832-CA82-B251-BE8044B6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97910-166B-B999-6189-78172FEEE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8CACC-2DC1-7BF6-1536-4B7B2CC1E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699795</xdr:colOff>
      <xdr:row>13</xdr:row>
      <xdr:rowOff>31102</xdr:rowOff>
    </xdr:from>
    <xdr:to>
      <xdr:col>11</xdr:col>
      <xdr:colOff>124408</xdr:colOff>
      <xdr:row>33</xdr:row>
      <xdr:rowOff>46653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E772D0-EB09-4E90-A1B3-D066BB959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326573</xdr:colOff>
      <xdr:row>13</xdr:row>
      <xdr:rowOff>108857</xdr:rowOff>
    </xdr:from>
    <xdr:to>
      <xdr:col>22</xdr:col>
      <xdr:colOff>139959</xdr:colOff>
      <xdr:row>33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123F3E-2ABA-4C9B-A64F-B203CEA19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357673</xdr:colOff>
      <xdr:row>12</xdr:row>
      <xdr:rowOff>186611</xdr:rowOff>
    </xdr:from>
    <xdr:to>
      <xdr:col>32</xdr:col>
      <xdr:colOff>388776</xdr:colOff>
      <xdr:row>33</xdr:row>
      <xdr:rowOff>62203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F528D1-315F-4019-8F36-0B9E5FE40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thu LAL A S" refreshedDate="46282.873898958336" createdVersion="8" refreshedVersion="8" minRefreshableVersion="3" recordCount="120" xr:uid="{1FE1E64E-A694-4DF0-B913-2832AE009068}">
  <cacheSource type="worksheet">
    <worksheetSource name="Table3"/>
  </cacheSource>
  <cacheFields count="9">
    <cacheField name="Date" numFmtId="47">
      <sharedItems containsSemiMixedTypes="0" containsNonDate="0" containsDate="1" containsString="0" minDate="2026-01-01T00:00:00" maxDate="2026-07-01T00:00:00" count="120">
        <d v="2026-01-01T00:00:00"/>
        <d v="2026-01-02T12:18:09"/>
        <d v="2026-01-04T00:36:18"/>
        <d v="2026-01-05T12:54:27"/>
        <d v="2026-01-07T01:12:36"/>
        <d v="2026-01-08T13:30:45"/>
        <d v="2026-01-10T01:48:54"/>
        <d v="2026-01-11T14:07:04"/>
        <d v="2026-01-13T02:25:13"/>
        <d v="2026-01-14T14:43:22"/>
        <d v="2026-01-16T03:01:31"/>
        <d v="2026-01-17T15:19:40"/>
        <d v="2026-01-19T03:37:49"/>
        <d v="2026-01-20T15:55:58"/>
        <d v="2026-01-22T04:14:07"/>
        <d v="2026-01-23T16:32:16"/>
        <d v="2026-01-25T04:50:25"/>
        <d v="2026-01-26T17:08:34"/>
        <d v="2026-01-28T05:26:43"/>
        <d v="2026-01-29T17:44:52"/>
        <d v="2026-01-31T06:03:02"/>
        <d v="2026-02-01T18:21:11"/>
        <d v="2026-02-03T06:39:20"/>
        <d v="2026-02-04T18:57:29"/>
        <d v="2026-02-06T07:15:38"/>
        <d v="2026-02-07T19:33:47"/>
        <d v="2026-02-09T07:51:56"/>
        <d v="2026-02-10T20:10:05"/>
        <d v="2026-02-12T08:28:14"/>
        <d v="2026-02-13T20:46:23"/>
        <d v="2026-02-15T09:04:32"/>
        <d v="2026-02-16T21:22:41"/>
        <d v="2026-02-18T09:40:50"/>
        <d v="2026-02-19T21:58:59"/>
        <d v="2026-02-21T10:17:09"/>
        <d v="2026-02-22T22:35:18"/>
        <d v="2026-02-24T10:53:27"/>
        <d v="2026-02-25T23:11:36"/>
        <d v="2026-02-27T11:29:45"/>
        <d v="2026-02-28T23:47:54"/>
        <d v="2026-03-02T12:06:03"/>
        <d v="2026-03-04T00:24:12"/>
        <d v="2026-03-05T12:42:21"/>
        <d v="2026-03-07T01:00:30"/>
        <d v="2026-03-08T13:18:39"/>
        <d v="2026-03-10T01:36:48"/>
        <d v="2026-03-11T13:54:57"/>
        <d v="2026-03-13T02:13:07"/>
        <d v="2026-03-14T14:31:16"/>
        <d v="2026-03-16T02:49:25"/>
        <d v="2026-03-17T15:07:34"/>
        <d v="2026-03-19T03:25:43"/>
        <d v="2026-03-20T15:43:52"/>
        <d v="2026-03-22T04:02:01"/>
        <d v="2026-03-23T16:20:10"/>
        <d v="2026-03-25T04:38:19"/>
        <d v="2026-03-26T16:56:28"/>
        <d v="2026-03-28T05:14:37"/>
        <d v="2026-03-29T17:32:46"/>
        <d v="2026-03-31T05:50:55"/>
        <d v="2026-04-01T18:09:05"/>
        <d v="2026-04-03T06:27:14"/>
        <d v="2026-04-04T18:45:23"/>
        <d v="2026-04-06T07:03:32"/>
        <d v="2026-04-07T19:21:41"/>
        <d v="2026-04-09T07:39:50"/>
        <d v="2026-04-10T19:57:59"/>
        <d v="2026-04-12T08:16:08"/>
        <d v="2026-04-13T20:34:17"/>
        <d v="2026-04-15T08:52:26"/>
        <d v="2026-04-16T21:10:35"/>
        <d v="2026-04-18T09:28:44"/>
        <d v="2026-04-19T21:46:53"/>
        <d v="2026-04-21T10:05:03"/>
        <d v="2026-04-22T22:23:12"/>
        <d v="2026-04-24T10:41:21"/>
        <d v="2026-04-25T22:59:30"/>
        <d v="2026-04-27T11:17:39"/>
        <d v="2026-04-28T23:35:48"/>
        <d v="2026-04-30T11:53:57"/>
        <d v="2026-05-02T00:12:06"/>
        <d v="2026-05-03T12:30:15"/>
        <d v="2026-05-05T00:48:24"/>
        <d v="2026-05-06T13:06:33"/>
        <d v="2026-05-08T01:24:42"/>
        <d v="2026-05-09T13:42:51"/>
        <d v="2026-05-11T02:01:01"/>
        <d v="2026-05-12T14:19:10"/>
        <d v="2026-05-14T02:37:19"/>
        <d v="2026-05-15T14:55:28"/>
        <d v="2026-05-17T03:13:37"/>
        <d v="2026-05-18T15:31:46"/>
        <d v="2026-05-20T03:49:55"/>
        <d v="2026-05-21T16:08:04"/>
        <d v="2026-05-23T04:26:13"/>
        <d v="2026-05-24T16:44:22"/>
        <d v="2026-05-26T05:02:31"/>
        <d v="2026-05-27T17:20:40"/>
        <d v="2026-05-29T05:38:49"/>
        <d v="2026-05-30T17:56:58"/>
        <d v="2026-06-01T06:15:08"/>
        <d v="2026-06-02T18:33:17"/>
        <d v="2026-06-04T06:51:26"/>
        <d v="2026-06-05T19:09:35"/>
        <d v="2026-06-07T07:27:44"/>
        <d v="2026-06-08T19:45:53"/>
        <d v="2026-06-10T08:04:02"/>
        <d v="2026-06-11T20:22:11"/>
        <d v="2026-06-13T08:40:20"/>
        <d v="2026-06-14T20:58:29"/>
        <d v="2026-06-16T09:16:38"/>
        <d v="2026-06-17T21:34:47"/>
        <d v="2026-06-19T09:52:56"/>
        <d v="2026-06-20T22:11:06"/>
        <d v="2026-06-22T10:29:15"/>
        <d v="2026-06-23T22:47:24"/>
        <d v="2026-06-25T11:05:33"/>
        <d v="2026-06-26T23:23:42"/>
        <d v="2026-06-28T11:41:51"/>
        <d v="2026-06-30T00:00:00"/>
      </sharedItems>
      <fieldGroup par="8"/>
    </cacheField>
    <cacheField name="Product" numFmtId="0">
      <sharedItems count="6">
        <s v="Keyboard"/>
        <s v="Mouse"/>
        <s v="Headphones"/>
        <s v="Mobile"/>
        <s v="Monitor"/>
        <s v="Laptop"/>
      </sharedItems>
    </cacheField>
    <cacheField name="Region" numFmtId="0">
      <sharedItems count="4">
        <s v="South"/>
        <s v="North"/>
        <s v="West"/>
        <s v="East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00" maxValue="6000"/>
    </cacheField>
    <cacheField name="Sales" numFmtId="0">
      <sharedItems containsSemiMixedTypes="0" containsString="0" containsNumber="1" containsInteger="1" minValue="500" maxValue="60000"/>
    </cacheField>
    <cacheField name="Profit" numFmtId="0">
      <sharedItems containsSemiMixedTypes="0" containsString="0" containsNumber="1" minValue="76.22" maxValue="14427.69"/>
    </cacheField>
    <cacheField name="Days (Date)" numFmtId="0" databaseField="0">
      <fieldGroup base="0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0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n v="2"/>
    <n v="2500"/>
    <n v="5000"/>
    <n v="985.22"/>
  </r>
  <r>
    <x v="1"/>
    <x v="1"/>
    <x v="1"/>
    <n v="3"/>
    <n v="500"/>
    <n v="1500"/>
    <n v="134.84"/>
  </r>
  <r>
    <x v="2"/>
    <x v="2"/>
    <x v="2"/>
    <n v="1"/>
    <n v="4000"/>
    <n v="4000"/>
    <n v="942.35"/>
  </r>
  <r>
    <x v="3"/>
    <x v="1"/>
    <x v="3"/>
    <n v="5"/>
    <n v="2500"/>
    <n v="12500"/>
    <n v="1940"/>
  </r>
  <r>
    <x v="4"/>
    <x v="1"/>
    <x v="3"/>
    <n v="1"/>
    <n v="4000"/>
    <n v="4000"/>
    <n v="483.06"/>
  </r>
  <r>
    <x v="5"/>
    <x v="3"/>
    <x v="0"/>
    <n v="8"/>
    <n v="1200"/>
    <n v="9600"/>
    <n v="921.2"/>
  </r>
  <r>
    <x v="6"/>
    <x v="2"/>
    <x v="2"/>
    <n v="1"/>
    <n v="2500"/>
    <n v="2500"/>
    <n v="277.72000000000003"/>
  </r>
  <r>
    <x v="7"/>
    <x v="2"/>
    <x v="1"/>
    <n v="1"/>
    <n v="1200"/>
    <n v="1200"/>
    <n v="286.66000000000003"/>
  </r>
  <r>
    <x v="8"/>
    <x v="2"/>
    <x v="3"/>
    <n v="2"/>
    <n v="500"/>
    <n v="1000"/>
    <n v="188.51"/>
  </r>
  <r>
    <x v="9"/>
    <x v="1"/>
    <x v="2"/>
    <n v="2"/>
    <n v="500"/>
    <n v="1000"/>
    <n v="167.84"/>
  </r>
  <r>
    <x v="10"/>
    <x v="0"/>
    <x v="2"/>
    <n v="6"/>
    <n v="2500"/>
    <n v="15000"/>
    <n v="2875.63"/>
  </r>
  <r>
    <x v="11"/>
    <x v="2"/>
    <x v="0"/>
    <n v="7"/>
    <n v="2500"/>
    <n v="17500"/>
    <n v="2696.13"/>
  </r>
  <r>
    <x v="12"/>
    <x v="4"/>
    <x v="3"/>
    <n v="5"/>
    <n v="6000"/>
    <n v="30000"/>
    <n v="6123.2"/>
  </r>
  <r>
    <x v="13"/>
    <x v="1"/>
    <x v="3"/>
    <n v="1"/>
    <n v="4000"/>
    <n v="4000"/>
    <n v="352.45"/>
  </r>
  <r>
    <x v="14"/>
    <x v="3"/>
    <x v="1"/>
    <n v="1"/>
    <n v="6000"/>
    <n v="6000"/>
    <n v="1057.3599999999999"/>
  </r>
  <r>
    <x v="15"/>
    <x v="0"/>
    <x v="3"/>
    <n v="3"/>
    <n v="4000"/>
    <n v="12000"/>
    <n v="1283.6400000000001"/>
  </r>
  <r>
    <x v="16"/>
    <x v="4"/>
    <x v="1"/>
    <n v="2"/>
    <n v="6000"/>
    <n v="12000"/>
    <n v="1205.1400000000001"/>
  </r>
  <r>
    <x v="17"/>
    <x v="4"/>
    <x v="3"/>
    <n v="5"/>
    <n v="1200"/>
    <n v="6000"/>
    <n v="828.72"/>
  </r>
  <r>
    <x v="18"/>
    <x v="3"/>
    <x v="0"/>
    <n v="10"/>
    <n v="2500"/>
    <n v="25000"/>
    <n v="2390.15"/>
  </r>
  <r>
    <x v="19"/>
    <x v="0"/>
    <x v="3"/>
    <n v="6"/>
    <n v="500"/>
    <n v="3000"/>
    <n v="288.02"/>
  </r>
  <r>
    <x v="20"/>
    <x v="1"/>
    <x v="1"/>
    <n v="7"/>
    <n v="4000"/>
    <n v="28000"/>
    <n v="3722.33"/>
  </r>
  <r>
    <x v="21"/>
    <x v="5"/>
    <x v="1"/>
    <n v="4"/>
    <n v="4000"/>
    <n v="16000"/>
    <n v="3944.27"/>
  </r>
  <r>
    <x v="22"/>
    <x v="0"/>
    <x v="0"/>
    <n v="7"/>
    <n v="500"/>
    <n v="3500"/>
    <n v="384.32"/>
  </r>
  <r>
    <x v="23"/>
    <x v="3"/>
    <x v="3"/>
    <n v="8"/>
    <n v="6000"/>
    <n v="48000"/>
    <n v="3980.03"/>
  </r>
  <r>
    <x v="24"/>
    <x v="4"/>
    <x v="3"/>
    <n v="1"/>
    <n v="4000"/>
    <n v="4000"/>
    <n v="839.09"/>
  </r>
  <r>
    <x v="25"/>
    <x v="1"/>
    <x v="0"/>
    <n v="6"/>
    <n v="1200"/>
    <n v="7200"/>
    <n v="1563.66"/>
  </r>
  <r>
    <x v="26"/>
    <x v="0"/>
    <x v="3"/>
    <n v="8"/>
    <n v="2500"/>
    <n v="20000"/>
    <n v="2777.43"/>
  </r>
  <r>
    <x v="27"/>
    <x v="5"/>
    <x v="3"/>
    <n v="5"/>
    <n v="500"/>
    <n v="2500"/>
    <n v="397.49"/>
  </r>
  <r>
    <x v="28"/>
    <x v="5"/>
    <x v="1"/>
    <n v="4"/>
    <n v="2500"/>
    <n v="10000"/>
    <n v="1904.62"/>
  </r>
  <r>
    <x v="29"/>
    <x v="2"/>
    <x v="3"/>
    <n v="2"/>
    <n v="4000"/>
    <n v="8000"/>
    <n v="705.36"/>
  </r>
  <r>
    <x v="30"/>
    <x v="2"/>
    <x v="3"/>
    <n v="6"/>
    <n v="4000"/>
    <n v="24000"/>
    <n v="5792.51"/>
  </r>
  <r>
    <x v="31"/>
    <x v="3"/>
    <x v="0"/>
    <n v="6"/>
    <n v="500"/>
    <n v="3000"/>
    <n v="692.21"/>
  </r>
  <r>
    <x v="32"/>
    <x v="0"/>
    <x v="0"/>
    <n v="1"/>
    <n v="1200"/>
    <n v="1200"/>
    <n v="149.22"/>
  </r>
  <r>
    <x v="33"/>
    <x v="0"/>
    <x v="2"/>
    <n v="9"/>
    <n v="800"/>
    <n v="7200"/>
    <n v="594.73"/>
  </r>
  <r>
    <x v="34"/>
    <x v="4"/>
    <x v="1"/>
    <n v="6"/>
    <n v="500"/>
    <n v="3000"/>
    <n v="716.05"/>
  </r>
  <r>
    <x v="35"/>
    <x v="4"/>
    <x v="3"/>
    <n v="3"/>
    <n v="800"/>
    <n v="2400"/>
    <n v="396.42"/>
  </r>
  <r>
    <x v="36"/>
    <x v="4"/>
    <x v="3"/>
    <n v="4"/>
    <n v="6000"/>
    <n v="24000"/>
    <n v="4120.66"/>
  </r>
  <r>
    <x v="37"/>
    <x v="2"/>
    <x v="2"/>
    <n v="4"/>
    <n v="800"/>
    <n v="3200"/>
    <n v="628.08000000000004"/>
  </r>
  <r>
    <x v="38"/>
    <x v="0"/>
    <x v="3"/>
    <n v="3"/>
    <n v="1200"/>
    <n v="3600"/>
    <n v="664.9"/>
  </r>
  <r>
    <x v="39"/>
    <x v="0"/>
    <x v="1"/>
    <n v="10"/>
    <n v="6000"/>
    <n v="60000"/>
    <n v="14427.69"/>
  </r>
  <r>
    <x v="40"/>
    <x v="5"/>
    <x v="2"/>
    <n v="3"/>
    <n v="800"/>
    <n v="2400"/>
    <n v="577.25"/>
  </r>
  <r>
    <x v="41"/>
    <x v="2"/>
    <x v="1"/>
    <n v="3"/>
    <n v="6000"/>
    <n v="18000"/>
    <n v="4093.63"/>
  </r>
  <r>
    <x v="42"/>
    <x v="1"/>
    <x v="2"/>
    <n v="4"/>
    <n v="800"/>
    <n v="3200"/>
    <n v="602.20000000000005"/>
  </r>
  <r>
    <x v="43"/>
    <x v="2"/>
    <x v="2"/>
    <n v="7"/>
    <n v="1200"/>
    <n v="8400"/>
    <n v="1815.76"/>
  </r>
  <r>
    <x v="44"/>
    <x v="1"/>
    <x v="0"/>
    <n v="4"/>
    <n v="800"/>
    <n v="3200"/>
    <n v="624.38"/>
  </r>
  <r>
    <x v="45"/>
    <x v="5"/>
    <x v="1"/>
    <n v="9"/>
    <n v="800"/>
    <n v="7200"/>
    <n v="1277.8"/>
  </r>
  <r>
    <x v="46"/>
    <x v="3"/>
    <x v="3"/>
    <n v="1"/>
    <n v="800"/>
    <n v="800"/>
    <n v="81.48"/>
  </r>
  <r>
    <x v="47"/>
    <x v="0"/>
    <x v="3"/>
    <n v="8"/>
    <n v="500"/>
    <n v="4000"/>
    <n v="871.62"/>
  </r>
  <r>
    <x v="48"/>
    <x v="5"/>
    <x v="1"/>
    <n v="7"/>
    <n v="500"/>
    <n v="3500"/>
    <n v="768.28"/>
  </r>
  <r>
    <x v="49"/>
    <x v="0"/>
    <x v="3"/>
    <n v="2"/>
    <n v="500"/>
    <n v="1000"/>
    <n v="186.41"/>
  </r>
  <r>
    <x v="50"/>
    <x v="4"/>
    <x v="3"/>
    <n v="8"/>
    <n v="1200"/>
    <n v="9600"/>
    <n v="2106.94"/>
  </r>
  <r>
    <x v="51"/>
    <x v="3"/>
    <x v="1"/>
    <n v="1"/>
    <n v="6000"/>
    <n v="6000"/>
    <n v="1144.51"/>
  </r>
  <r>
    <x v="52"/>
    <x v="3"/>
    <x v="2"/>
    <n v="9"/>
    <n v="4000"/>
    <n v="36000"/>
    <n v="4144.91"/>
  </r>
  <r>
    <x v="53"/>
    <x v="5"/>
    <x v="1"/>
    <n v="9"/>
    <n v="800"/>
    <n v="7200"/>
    <n v="911.33"/>
  </r>
  <r>
    <x v="54"/>
    <x v="3"/>
    <x v="2"/>
    <n v="2"/>
    <n v="800"/>
    <n v="1600"/>
    <n v="186.37"/>
  </r>
  <r>
    <x v="55"/>
    <x v="1"/>
    <x v="3"/>
    <n v="7"/>
    <n v="1200"/>
    <n v="8400"/>
    <n v="1210.73"/>
  </r>
  <r>
    <x v="56"/>
    <x v="3"/>
    <x v="3"/>
    <n v="10"/>
    <n v="800"/>
    <n v="8000"/>
    <n v="692.99"/>
  </r>
  <r>
    <x v="57"/>
    <x v="0"/>
    <x v="3"/>
    <n v="3"/>
    <n v="500"/>
    <n v="1500"/>
    <n v="277.64999999999998"/>
  </r>
  <r>
    <x v="58"/>
    <x v="0"/>
    <x v="0"/>
    <n v="7"/>
    <n v="4000"/>
    <n v="28000"/>
    <n v="3842"/>
  </r>
  <r>
    <x v="59"/>
    <x v="0"/>
    <x v="2"/>
    <n v="10"/>
    <n v="2500"/>
    <n v="25000"/>
    <n v="4786.82"/>
  </r>
  <r>
    <x v="60"/>
    <x v="0"/>
    <x v="0"/>
    <n v="9"/>
    <n v="800"/>
    <n v="7200"/>
    <n v="1047.73"/>
  </r>
  <r>
    <x v="61"/>
    <x v="1"/>
    <x v="0"/>
    <n v="4"/>
    <n v="500"/>
    <n v="2000"/>
    <n v="391.75"/>
  </r>
  <r>
    <x v="62"/>
    <x v="2"/>
    <x v="1"/>
    <n v="1"/>
    <n v="2500"/>
    <n v="2500"/>
    <n v="344.77"/>
  </r>
  <r>
    <x v="63"/>
    <x v="4"/>
    <x v="0"/>
    <n v="2"/>
    <n v="4000"/>
    <n v="8000"/>
    <n v="994.54"/>
  </r>
  <r>
    <x v="64"/>
    <x v="5"/>
    <x v="1"/>
    <n v="1"/>
    <n v="2500"/>
    <n v="2500"/>
    <n v="410.82"/>
  </r>
  <r>
    <x v="65"/>
    <x v="0"/>
    <x v="1"/>
    <n v="5"/>
    <n v="500"/>
    <n v="2500"/>
    <n v="494.48"/>
  </r>
  <r>
    <x v="66"/>
    <x v="3"/>
    <x v="0"/>
    <n v="5"/>
    <n v="6000"/>
    <n v="30000"/>
    <n v="4176.5200000000004"/>
  </r>
  <r>
    <x v="67"/>
    <x v="0"/>
    <x v="2"/>
    <n v="7"/>
    <n v="6000"/>
    <n v="42000"/>
    <n v="10047.67"/>
  </r>
  <r>
    <x v="68"/>
    <x v="3"/>
    <x v="2"/>
    <n v="9"/>
    <n v="2500"/>
    <n v="22500"/>
    <n v="1949.89"/>
  </r>
  <r>
    <x v="69"/>
    <x v="4"/>
    <x v="2"/>
    <n v="9"/>
    <n v="1200"/>
    <n v="10800"/>
    <n v="1631.35"/>
  </r>
  <r>
    <x v="70"/>
    <x v="4"/>
    <x v="2"/>
    <n v="3"/>
    <n v="2500"/>
    <n v="7500"/>
    <n v="1833.67"/>
  </r>
  <r>
    <x v="71"/>
    <x v="4"/>
    <x v="2"/>
    <n v="3"/>
    <n v="800"/>
    <n v="2400"/>
    <n v="415.57"/>
  </r>
  <r>
    <x v="72"/>
    <x v="3"/>
    <x v="0"/>
    <n v="3"/>
    <n v="800"/>
    <n v="2400"/>
    <n v="364.78"/>
  </r>
  <r>
    <x v="73"/>
    <x v="0"/>
    <x v="0"/>
    <n v="4"/>
    <n v="6000"/>
    <n v="24000"/>
    <n v="4239.5600000000004"/>
  </r>
  <r>
    <x v="74"/>
    <x v="4"/>
    <x v="3"/>
    <n v="8"/>
    <n v="1200"/>
    <n v="9600"/>
    <n v="1707.91"/>
  </r>
  <r>
    <x v="75"/>
    <x v="1"/>
    <x v="2"/>
    <n v="6"/>
    <n v="500"/>
    <n v="3000"/>
    <n v="613.14"/>
  </r>
  <r>
    <x v="76"/>
    <x v="3"/>
    <x v="0"/>
    <n v="8"/>
    <n v="800"/>
    <n v="6400"/>
    <n v="650.92999999999995"/>
  </r>
  <r>
    <x v="77"/>
    <x v="3"/>
    <x v="3"/>
    <n v="1"/>
    <n v="6000"/>
    <n v="6000"/>
    <n v="735.02"/>
  </r>
  <r>
    <x v="78"/>
    <x v="0"/>
    <x v="2"/>
    <n v="8"/>
    <n v="4000"/>
    <n v="32000"/>
    <n v="5718.16"/>
  </r>
  <r>
    <x v="79"/>
    <x v="3"/>
    <x v="1"/>
    <n v="4"/>
    <n v="6000"/>
    <n v="24000"/>
    <n v="5457.84"/>
  </r>
  <r>
    <x v="80"/>
    <x v="3"/>
    <x v="3"/>
    <n v="1"/>
    <n v="800"/>
    <n v="800"/>
    <n v="140.41"/>
  </r>
  <r>
    <x v="81"/>
    <x v="4"/>
    <x v="0"/>
    <n v="8"/>
    <n v="800"/>
    <n v="6400"/>
    <n v="771.59"/>
  </r>
  <r>
    <x v="82"/>
    <x v="0"/>
    <x v="1"/>
    <n v="4"/>
    <n v="6000"/>
    <n v="24000"/>
    <n v="4693.7700000000004"/>
  </r>
  <r>
    <x v="83"/>
    <x v="4"/>
    <x v="1"/>
    <n v="6"/>
    <n v="500"/>
    <n v="3000"/>
    <n v="617.35"/>
  </r>
  <r>
    <x v="84"/>
    <x v="4"/>
    <x v="1"/>
    <n v="8"/>
    <n v="2500"/>
    <n v="20000"/>
    <n v="2410"/>
  </r>
  <r>
    <x v="85"/>
    <x v="0"/>
    <x v="3"/>
    <n v="4"/>
    <n v="800"/>
    <n v="3200"/>
    <n v="461.48"/>
  </r>
  <r>
    <x v="86"/>
    <x v="5"/>
    <x v="0"/>
    <n v="3"/>
    <n v="6000"/>
    <n v="18000"/>
    <n v="3075.04"/>
  </r>
  <r>
    <x v="87"/>
    <x v="4"/>
    <x v="1"/>
    <n v="9"/>
    <n v="6000"/>
    <n v="54000"/>
    <n v="8878.43"/>
  </r>
  <r>
    <x v="88"/>
    <x v="1"/>
    <x v="2"/>
    <n v="3"/>
    <n v="1200"/>
    <n v="3600"/>
    <n v="526.45000000000005"/>
  </r>
  <r>
    <x v="89"/>
    <x v="1"/>
    <x v="1"/>
    <n v="9"/>
    <n v="2500"/>
    <n v="22500"/>
    <n v="2938.45"/>
  </r>
  <r>
    <x v="90"/>
    <x v="3"/>
    <x v="1"/>
    <n v="2"/>
    <n v="4000"/>
    <n v="8000"/>
    <n v="775.98"/>
  </r>
  <r>
    <x v="91"/>
    <x v="1"/>
    <x v="3"/>
    <n v="2"/>
    <n v="500"/>
    <n v="1000"/>
    <n v="89.09"/>
  </r>
  <r>
    <x v="92"/>
    <x v="3"/>
    <x v="3"/>
    <n v="2"/>
    <n v="4000"/>
    <n v="8000"/>
    <n v="1943.62"/>
  </r>
  <r>
    <x v="93"/>
    <x v="5"/>
    <x v="0"/>
    <n v="6"/>
    <n v="2500"/>
    <n v="15000"/>
    <n v="3360.22"/>
  </r>
  <r>
    <x v="94"/>
    <x v="0"/>
    <x v="2"/>
    <n v="3"/>
    <n v="2500"/>
    <n v="7500"/>
    <n v="1052.5"/>
  </r>
  <r>
    <x v="95"/>
    <x v="0"/>
    <x v="3"/>
    <n v="9"/>
    <n v="2500"/>
    <n v="22500"/>
    <n v="5459.76"/>
  </r>
  <r>
    <x v="96"/>
    <x v="0"/>
    <x v="1"/>
    <n v="4"/>
    <n v="4000"/>
    <n v="16000"/>
    <n v="3120.81"/>
  </r>
  <r>
    <x v="97"/>
    <x v="1"/>
    <x v="0"/>
    <n v="1"/>
    <n v="2500"/>
    <n v="2500"/>
    <n v="405.07"/>
  </r>
  <r>
    <x v="98"/>
    <x v="5"/>
    <x v="1"/>
    <n v="4"/>
    <n v="6000"/>
    <n v="24000"/>
    <n v="3931.54"/>
  </r>
  <r>
    <x v="99"/>
    <x v="1"/>
    <x v="1"/>
    <n v="1"/>
    <n v="4000"/>
    <n v="4000"/>
    <n v="376.63"/>
  </r>
  <r>
    <x v="100"/>
    <x v="1"/>
    <x v="3"/>
    <n v="5"/>
    <n v="2500"/>
    <n v="12500"/>
    <n v="1194.8699999999999"/>
  </r>
  <r>
    <x v="101"/>
    <x v="5"/>
    <x v="0"/>
    <n v="4"/>
    <n v="6000"/>
    <n v="24000"/>
    <n v="4377.96"/>
  </r>
  <r>
    <x v="102"/>
    <x v="5"/>
    <x v="2"/>
    <n v="8"/>
    <n v="1200"/>
    <n v="9600"/>
    <n v="1671.64"/>
  </r>
  <r>
    <x v="103"/>
    <x v="5"/>
    <x v="2"/>
    <n v="8"/>
    <n v="2500"/>
    <n v="20000"/>
    <n v="2323.27"/>
  </r>
  <r>
    <x v="104"/>
    <x v="5"/>
    <x v="3"/>
    <n v="7"/>
    <n v="4000"/>
    <n v="28000"/>
    <n v="6743.89"/>
  </r>
  <r>
    <x v="105"/>
    <x v="0"/>
    <x v="3"/>
    <n v="3"/>
    <n v="800"/>
    <n v="2400"/>
    <n v="510.77"/>
  </r>
  <r>
    <x v="106"/>
    <x v="2"/>
    <x v="0"/>
    <n v="1"/>
    <n v="2500"/>
    <n v="2500"/>
    <n v="248.22"/>
  </r>
  <r>
    <x v="107"/>
    <x v="2"/>
    <x v="2"/>
    <n v="1"/>
    <n v="800"/>
    <n v="800"/>
    <n v="190.61"/>
  </r>
  <r>
    <x v="108"/>
    <x v="5"/>
    <x v="2"/>
    <n v="3"/>
    <n v="6000"/>
    <n v="18000"/>
    <n v="4421.2"/>
  </r>
  <r>
    <x v="109"/>
    <x v="2"/>
    <x v="2"/>
    <n v="6"/>
    <n v="1200"/>
    <n v="7200"/>
    <n v="1795.02"/>
  </r>
  <r>
    <x v="110"/>
    <x v="2"/>
    <x v="1"/>
    <n v="7"/>
    <n v="500"/>
    <n v="3500"/>
    <n v="313.24"/>
  </r>
  <r>
    <x v="111"/>
    <x v="5"/>
    <x v="2"/>
    <n v="6"/>
    <n v="1200"/>
    <n v="7200"/>
    <n v="1478.13"/>
  </r>
  <r>
    <x v="112"/>
    <x v="2"/>
    <x v="1"/>
    <n v="6"/>
    <n v="2500"/>
    <n v="15000"/>
    <n v="2592.09"/>
  </r>
  <r>
    <x v="113"/>
    <x v="1"/>
    <x v="0"/>
    <n v="6"/>
    <n v="800"/>
    <n v="4800"/>
    <n v="959.96"/>
  </r>
  <r>
    <x v="114"/>
    <x v="3"/>
    <x v="1"/>
    <n v="3"/>
    <n v="800"/>
    <n v="2400"/>
    <n v="587.21"/>
  </r>
  <r>
    <x v="115"/>
    <x v="3"/>
    <x v="0"/>
    <n v="6"/>
    <n v="4000"/>
    <n v="24000"/>
    <n v="4727.16"/>
  </r>
  <r>
    <x v="116"/>
    <x v="5"/>
    <x v="2"/>
    <n v="8"/>
    <n v="800"/>
    <n v="6400"/>
    <n v="1422.62"/>
  </r>
  <r>
    <x v="117"/>
    <x v="0"/>
    <x v="2"/>
    <n v="2"/>
    <n v="4000"/>
    <n v="8000"/>
    <n v="1818.94"/>
  </r>
  <r>
    <x v="118"/>
    <x v="5"/>
    <x v="0"/>
    <n v="5"/>
    <n v="6000"/>
    <n v="30000"/>
    <n v="6676.25"/>
  </r>
  <r>
    <x v="119"/>
    <x v="0"/>
    <x v="3"/>
    <n v="1"/>
    <n v="500"/>
    <n v="500"/>
    <n v="76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91F1B-D969-4F24-863F-092AEC60C4C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numFmtId="47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EF4F3-CD03-4759-A5F7-EFD461E73F3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9">
    <pivotField numFmtId="47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showAll="0">
      <items count="7">
        <item x="2"/>
        <item x="0"/>
        <item x="5"/>
        <item x="3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1AB66-12FB-4E9E-B8C5-5AD1EB38EC5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9">
    <pivotField axis="axisRow" numFmtId="47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F65915-E331-456E-8F29-497ACE8E5FCA}" name="Table4" displayName="Table4" ref="A1:A2" totalsRowShown="0" headerRowDxfId="1">
  <tableColumns count="1">
    <tableColumn id="1" xr3:uid="{E9C2456B-C327-465A-85D0-A9A49C26C284}" name="Total_Sales">
      <calculatedColumnFormula>SUM(sales_data_analysis!F2:F121)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7A930-B106-4711-81ED-BD0EC55A5F9A}" name="Table5" displayName="Table5" ref="B1:C2" totalsRowShown="0" headerRowDxfId="0">
  <tableColumns count="2">
    <tableColumn id="1" xr3:uid="{CA60257D-149C-47C2-94D2-C03FBCAE1B00}" name="Total_profit">
      <calculatedColumnFormula>SUM(sales_data_analysis!G2:G121)</calculatedColumnFormula>
    </tableColumn>
    <tableColumn id="4" xr3:uid="{B59A54BA-3C97-41BA-B70B-7B8B77F63D34}" name="Average_Sales">
      <calculatedColumnFormula>AVERAGE(sales_data_analysis!F2:F121)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EEE917-7017-4147-B5DC-F6CBE5418353}" name="Table3" displayName="Table3" ref="A1:G121" totalsRowShown="0">
  <tableColumns count="7">
    <tableColumn id="1" xr3:uid="{F1109C52-B207-476F-A3A3-C7E384DB9120}" name="Date" dataDxfId="2"/>
    <tableColumn id="2" xr3:uid="{1640FFA6-AA61-4E32-9C64-C6C7666D2472}" name="Product"/>
    <tableColumn id="3" xr3:uid="{2BE56C68-A7AE-4164-B4ED-876B8FC704AC}" name="Region"/>
    <tableColumn id="4" xr3:uid="{EE82C1D6-34D1-4531-9543-192E41CBB0F3}" name="Quantity"/>
    <tableColumn id="5" xr3:uid="{0AA33748-656A-4F11-9204-440852534909}" name="Unit_Price"/>
    <tableColumn id="6" xr3:uid="{E9DB8296-B016-4869-A49A-FD96DA8527A3}" name="Sales"/>
    <tableColumn id="7" xr3:uid="{C327EE1C-093A-4F04-8971-0D225769DA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2EFA-2ECD-46E3-A746-8FE34E21784C}">
  <dimension ref="A3:B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17</v>
      </c>
      <c r="B3" t="s">
        <v>19</v>
      </c>
    </row>
    <row r="4" spans="1:2" x14ac:dyDescent="0.3">
      <c r="A4" s="3" t="s">
        <v>13</v>
      </c>
      <c r="B4" s="4">
        <v>336800</v>
      </c>
    </row>
    <row r="5" spans="1:2" x14ac:dyDescent="0.3">
      <c r="A5" s="3" t="s">
        <v>10</v>
      </c>
      <c r="B5" s="4">
        <v>407500</v>
      </c>
    </row>
    <row r="6" spans="1:2" x14ac:dyDescent="0.3">
      <c r="A6" s="3" t="s">
        <v>8</v>
      </c>
      <c r="B6" s="4">
        <v>310400</v>
      </c>
    </row>
    <row r="7" spans="1:2" x14ac:dyDescent="0.3">
      <c r="A7" s="3" t="s">
        <v>12</v>
      </c>
      <c r="B7" s="4">
        <v>318000</v>
      </c>
    </row>
    <row r="8" spans="1:2" x14ac:dyDescent="0.3">
      <c r="A8" s="3" t="s">
        <v>18</v>
      </c>
      <c r="B8" s="4">
        <v>1372700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A391-25FF-4D9A-BBEE-9C5BE7B805DE}">
  <dimension ref="A3:B10"/>
  <sheetViews>
    <sheetView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17</v>
      </c>
      <c r="B3" t="s">
        <v>19</v>
      </c>
    </row>
    <row r="4" spans="1:2" x14ac:dyDescent="0.3">
      <c r="A4" s="3" t="s">
        <v>11</v>
      </c>
      <c r="B4" s="4">
        <v>119300</v>
      </c>
    </row>
    <row r="5" spans="1:2" x14ac:dyDescent="0.3">
      <c r="A5" s="3" t="s">
        <v>7</v>
      </c>
      <c r="B5" s="4">
        <v>381800</v>
      </c>
    </row>
    <row r="6" spans="1:2" x14ac:dyDescent="0.3">
      <c r="A6" s="3" t="s">
        <v>16</v>
      </c>
      <c r="B6" s="4">
        <v>251500</v>
      </c>
    </row>
    <row r="7" spans="1:2" x14ac:dyDescent="0.3">
      <c r="A7" s="3" t="s">
        <v>14</v>
      </c>
      <c r="B7" s="4">
        <v>278500</v>
      </c>
    </row>
    <row r="8" spans="1:2" x14ac:dyDescent="0.3">
      <c r="A8" s="3" t="s">
        <v>15</v>
      </c>
      <c r="B8" s="4">
        <v>212700</v>
      </c>
    </row>
    <row r="9" spans="1:2" x14ac:dyDescent="0.3">
      <c r="A9" s="3" t="s">
        <v>9</v>
      </c>
      <c r="B9" s="4">
        <v>128900</v>
      </c>
    </row>
    <row r="10" spans="1:2" x14ac:dyDescent="0.3">
      <c r="A10" s="3" t="s">
        <v>18</v>
      </c>
      <c r="B10" s="4">
        <v>1372700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43FC-F7A7-4B70-9CEA-A6CD7EA050F4}">
  <dimension ref="A3:B10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17</v>
      </c>
      <c r="B3" t="s">
        <v>19</v>
      </c>
    </row>
    <row r="4" spans="1:2" x14ac:dyDescent="0.3">
      <c r="A4" s="3" t="s">
        <v>20</v>
      </c>
      <c r="B4" s="4">
        <v>200800</v>
      </c>
    </row>
    <row r="5" spans="1:2" x14ac:dyDescent="0.3">
      <c r="A5" s="3" t="s">
        <v>21</v>
      </c>
      <c r="B5" s="4">
        <v>250800</v>
      </c>
    </row>
    <row r="6" spans="1:2" x14ac:dyDescent="0.3">
      <c r="A6" s="3" t="s">
        <v>22</v>
      </c>
      <c r="B6" s="4">
        <v>183000</v>
      </c>
    </row>
    <row r="7" spans="1:2" x14ac:dyDescent="0.3">
      <c r="A7" s="3" t="s">
        <v>23</v>
      </c>
      <c r="B7" s="4">
        <v>247300</v>
      </c>
    </row>
    <row r="8" spans="1:2" x14ac:dyDescent="0.3">
      <c r="A8" s="3" t="s">
        <v>24</v>
      </c>
      <c r="B8" s="4">
        <v>264000</v>
      </c>
    </row>
    <row r="9" spans="1:2" x14ac:dyDescent="0.3">
      <c r="A9" s="3" t="s">
        <v>25</v>
      </c>
      <c r="B9" s="4">
        <v>226800</v>
      </c>
    </row>
    <row r="10" spans="1:2" x14ac:dyDescent="0.3">
      <c r="A10" s="3" t="s">
        <v>18</v>
      </c>
      <c r="B10" s="4">
        <v>1372700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D0C-7E03-44BA-AD6D-96BA5FE8797F}">
  <dimension ref="A1:C2"/>
  <sheetViews>
    <sheetView tabSelected="1" topLeftCell="A2" zoomScale="78" zoomScaleNormal="60" workbookViewId="0">
      <selection activeCell="G9" sqref="G9"/>
    </sheetView>
  </sheetViews>
  <sheetFormatPr defaultRowHeight="14.4" x14ac:dyDescent="0.3"/>
  <cols>
    <col min="1" max="1" width="14.5546875" customWidth="1"/>
    <col min="2" max="2" width="14.33203125" customWidth="1"/>
    <col min="3" max="3" width="16.44140625" customWidth="1"/>
  </cols>
  <sheetData>
    <row r="1" spans="1:3" ht="18" x14ac:dyDescent="0.3">
      <c r="A1" s="5" t="s">
        <v>26</v>
      </c>
      <c r="B1" s="5" t="s">
        <v>27</v>
      </c>
      <c r="C1" s="5" t="s">
        <v>28</v>
      </c>
    </row>
    <row r="2" spans="1:3" x14ac:dyDescent="0.3">
      <c r="A2">
        <f>SUM(sales_data_analysis!F2:F121)</f>
        <v>1372700</v>
      </c>
      <c r="B2">
        <f>SUM(sales_data_analysis!G2:G121)</f>
        <v>236415.53000000003</v>
      </c>
      <c r="C2">
        <f>AVERAGE(sales_data_analysis!F2:F121)</f>
        <v>11439.166666666666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FE26-12F0-425D-B809-A48CBA40F07B}">
  <dimension ref="A1:H123"/>
  <sheetViews>
    <sheetView showWhiteSpace="0" topLeftCell="A2" zoomScaleNormal="100" workbookViewId="0">
      <selection sqref="A1:G121"/>
    </sheetView>
  </sheetViews>
  <sheetFormatPr defaultRowHeight="14.4" x14ac:dyDescent="0.3"/>
  <cols>
    <col min="2" max="2" width="9.5546875" customWidth="1"/>
    <col min="4" max="4" width="10.21875" customWidth="1"/>
    <col min="5" max="5" width="11.5546875" customWidth="1"/>
    <col min="8" max="8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46023</v>
      </c>
      <c r="B2" t="s">
        <v>7</v>
      </c>
      <c r="C2" t="s">
        <v>8</v>
      </c>
      <c r="D2">
        <v>2</v>
      </c>
      <c r="E2">
        <v>2500</v>
      </c>
      <c r="F2">
        <v>5000</v>
      </c>
      <c r="G2">
        <v>985.22</v>
      </c>
    </row>
    <row r="3" spans="1:7" x14ac:dyDescent="0.3">
      <c r="A3" s="1">
        <v>46024.512605046293</v>
      </c>
      <c r="B3" t="s">
        <v>9</v>
      </c>
      <c r="C3" t="s">
        <v>10</v>
      </c>
      <c r="D3">
        <v>3</v>
      </c>
      <c r="E3">
        <v>500</v>
      </c>
      <c r="F3">
        <v>1500</v>
      </c>
      <c r="G3">
        <v>134.84</v>
      </c>
    </row>
    <row r="4" spans="1:7" x14ac:dyDescent="0.3">
      <c r="A4" s="1">
        <v>46026.025210081018</v>
      </c>
      <c r="B4" t="s">
        <v>11</v>
      </c>
      <c r="C4" t="s">
        <v>12</v>
      </c>
      <c r="D4">
        <v>1</v>
      </c>
      <c r="E4">
        <v>4000</v>
      </c>
      <c r="F4">
        <v>4000</v>
      </c>
      <c r="G4">
        <v>942.35</v>
      </c>
    </row>
    <row r="5" spans="1:7" x14ac:dyDescent="0.3">
      <c r="A5" s="1">
        <v>46027.537815127318</v>
      </c>
      <c r="B5" t="s">
        <v>9</v>
      </c>
      <c r="C5" t="s">
        <v>13</v>
      </c>
      <c r="D5">
        <v>5</v>
      </c>
      <c r="E5">
        <v>2500</v>
      </c>
      <c r="F5">
        <v>12500</v>
      </c>
      <c r="G5">
        <v>1940</v>
      </c>
    </row>
    <row r="6" spans="1:7" x14ac:dyDescent="0.3">
      <c r="A6" s="1">
        <v>46029.050420173611</v>
      </c>
      <c r="B6" t="s">
        <v>9</v>
      </c>
      <c r="C6" t="s">
        <v>13</v>
      </c>
      <c r="D6">
        <v>1</v>
      </c>
      <c r="E6">
        <v>4000</v>
      </c>
      <c r="F6">
        <v>4000</v>
      </c>
      <c r="G6">
        <v>483.06</v>
      </c>
    </row>
    <row r="7" spans="1:7" x14ac:dyDescent="0.3">
      <c r="A7" s="1">
        <v>46030.563025208336</v>
      </c>
      <c r="B7" t="s">
        <v>14</v>
      </c>
      <c r="C7" t="s">
        <v>8</v>
      </c>
      <c r="D7">
        <v>8</v>
      </c>
      <c r="E7">
        <v>1200</v>
      </c>
      <c r="F7">
        <v>9600</v>
      </c>
      <c r="G7">
        <v>921.2</v>
      </c>
    </row>
    <row r="8" spans="1:7" x14ac:dyDescent="0.3">
      <c r="A8" s="1">
        <v>46032.075630254629</v>
      </c>
      <c r="B8" t="s">
        <v>11</v>
      </c>
      <c r="C8" t="s">
        <v>12</v>
      </c>
      <c r="D8">
        <v>1</v>
      </c>
      <c r="E8">
        <v>2500</v>
      </c>
      <c r="F8">
        <v>2500</v>
      </c>
      <c r="G8">
        <v>277.72000000000003</v>
      </c>
    </row>
    <row r="9" spans="1:7" x14ac:dyDescent="0.3">
      <c r="A9" s="1">
        <v>46033.588235289353</v>
      </c>
      <c r="B9" t="s">
        <v>11</v>
      </c>
      <c r="C9" t="s">
        <v>10</v>
      </c>
      <c r="D9">
        <v>1</v>
      </c>
      <c r="E9">
        <v>1200</v>
      </c>
      <c r="F9">
        <v>1200</v>
      </c>
      <c r="G9">
        <v>286.66000000000003</v>
      </c>
    </row>
    <row r="10" spans="1:7" x14ac:dyDescent="0.3">
      <c r="A10" s="1">
        <v>46035.100840335646</v>
      </c>
      <c r="B10" t="s">
        <v>11</v>
      </c>
      <c r="C10" t="s">
        <v>13</v>
      </c>
      <c r="D10">
        <v>2</v>
      </c>
      <c r="E10">
        <v>500</v>
      </c>
      <c r="F10">
        <v>1000</v>
      </c>
      <c r="G10">
        <v>188.51</v>
      </c>
    </row>
    <row r="11" spans="1:7" x14ac:dyDescent="0.3">
      <c r="A11" s="1">
        <v>46036.613445381947</v>
      </c>
      <c r="B11" t="s">
        <v>9</v>
      </c>
      <c r="C11" t="s">
        <v>12</v>
      </c>
      <c r="D11">
        <v>2</v>
      </c>
      <c r="E11">
        <v>500</v>
      </c>
      <c r="F11">
        <v>1000</v>
      </c>
      <c r="G11">
        <v>167.84</v>
      </c>
    </row>
    <row r="12" spans="1:7" x14ac:dyDescent="0.3">
      <c r="A12" s="1">
        <v>46038.126050416664</v>
      </c>
      <c r="B12" t="s">
        <v>7</v>
      </c>
      <c r="C12" t="s">
        <v>12</v>
      </c>
      <c r="D12">
        <v>6</v>
      </c>
      <c r="E12">
        <v>2500</v>
      </c>
      <c r="F12">
        <v>15000</v>
      </c>
      <c r="G12">
        <v>2875.63</v>
      </c>
    </row>
    <row r="13" spans="1:7" x14ac:dyDescent="0.3">
      <c r="A13" s="1">
        <v>46039.638655462964</v>
      </c>
      <c r="B13" t="s">
        <v>11</v>
      </c>
      <c r="C13" t="s">
        <v>8</v>
      </c>
      <c r="D13">
        <v>7</v>
      </c>
      <c r="E13">
        <v>2500</v>
      </c>
      <c r="F13">
        <v>17500</v>
      </c>
      <c r="G13">
        <v>2696.13</v>
      </c>
    </row>
    <row r="14" spans="1:7" x14ac:dyDescent="0.3">
      <c r="A14" s="1">
        <v>46041.151260509258</v>
      </c>
      <c r="B14" t="s">
        <v>15</v>
      </c>
      <c r="C14" t="s">
        <v>13</v>
      </c>
      <c r="D14">
        <v>5</v>
      </c>
      <c r="E14">
        <v>6000</v>
      </c>
      <c r="F14">
        <v>30000</v>
      </c>
      <c r="G14">
        <v>6123.2</v>
      </c>
    </row>
    <row r="15" spans="1:7" x14ac:dyDescent="0.3">
      <c r="A15" s="1">
        <v>46042.663865543982</v>
      </c>
      <c r="B15" t="s">
        <v>9</v>
      </c>
      <c r="C15" t="s">
        <v>13</v>
      </c>
      <c r="D15">
        <v>1</v>
      </c>
      <c r="E15">
        <v>4000</v>
      </c>
      <c r="F15">
        <v>4000</v>
      </c>
      <c r="G15">
        <v>352.45</v>
      </c>
    </row>
    <row r="16" spans="1:7" x14ac:dyDescent="0.3">
      <c r="A16" s="1">
        <v>46044.176470590275</v>
      </c>
      <c r="B16" t="s">
        <v>14</v>
      </c>
      <c r="C16" t="s">
        <v>10</v>
      </c>
      <c r="D16">
        <v>1</v>
      </c>
      <c r="E16">
        <v>6000</v>
      </c>
      <c r="F16">
        <v>6000</v>
      </c>
      <c r="G16">
        <v>1057.3599999999999</v>
      </c>
    </row>
    <row r="17" spans="1:7" x14ac:dyDescent="0.3">
      <c r="A17" s="1">
        <v>46045.689075625</v>
      </c>
      <c r="B17" t="s">
        <v>7</v>
      </c>
      <c r="C17" t="s">
        <v>13</v>
      </c>
      <c r="D17">
        <v>3</v>
      </c>
      <c r="E17">
        <v>4000</v>
      </c>
      <c r="F17">
        <v>12000</v>
      </c>
      <c r="G17">
        <v>1283.6400000000001</v>
      </c>
    </row>
    <row r="18" spans="1:7" x14ac:dyDescent="0.3">
      <c r="A18" s="1">
        <v>46047.201680671293</v>
      </c>
      <c r="B18" t="s">
        <v>15</v>
      </c>
      <c r="C18" t="s">
        <v>10</v>
      </c>
      <c r="D18">
        <v>2</v>
      </c>
      <c r="E18">
        <v>6000</v>
      </c>
      <c r="F18">
        <v>12000</v>
      </c>
      <c r="G18">
        <v>1205.1400000000001</v>
      </c>
    </row>
    <row r="19" spans="1:7" x14ac:dyDescent="0.3">
      <c r="A19" s="1">
        <v>46048.714285717593</v>
      </c>
      <c r="B19" t="s">
        <v>15</v>
      </c>
      <c r="C19" t="s">
        <v>13</v>
      </c>
      <c r="D19">
        <v>5</v>
      </c>
      <c r="E19">
        <v>1200</v>
      </c>
      <c r="F19">
        <v>6000</v>
      </c>
      <c r="G19">
        <v>828.72</v>
      </c>
    </row>
    <row r="20" spans="1:7" x14ac:dyDescent="0.3">
      <c r="A20" s="1">
        <v>46050.226890752318</v>
      </c>
      <c r="B20" t="s">
        <v>14</v>
      </c>
      <c r="C20" t="s">
        <v>8</v>
      </c>
      <c r="D20">
        <v>10</v>
      </c>
      <c r="E20">
        <v>2500</v>
      </c>
      <c r="F20">
        <v>25000</v>
      </c>
      <c r="G20">
        <v>2390.15</v>
      </c>
    </row>
    <row r="21" spans="1:7" x14ac:dyDescent="0.3">
      <c r="A21" s="1">
        <v>46051.739495798611</v>
      </c>
      <c r="B21" t="s">
        <v>7</v>
      </c>
      <c r="C21" t="s">
        <v>13</v>
      </c>
      <c r="D21">
        <v>6</v>
      </c>
      <c r="E21">
        <v>500</v>
      </c>
      <c r="F21">
        <v>3000</v>
      </c>
      <c r="G21">
        <v>288.02</v>
      </c>
    </row>
    <row r="22" spans="1:7" x14ac:dyDescent="0.3">
      <c r="A22" s="1">
        <v>46053.252100844904</v>
      </c>
      <c r="B22" t="s">
        <v>9</v>
      </c>
      <c r="C22" t="s">
        <v>10</v>
      </c>
      <c r="D22">
        <v>7</v>
      </c>
      <c r="E22">
        <v>4000</v>
      </c>
      <c r="F22">
        <v>28000</v>
      </c>
      <c r="G22">
        <v>3722.33</v>
      </c>
    </row>
    <row r="23" spans="1:7" x14ac:dyDescent="0.3">
      <c r="A23" s="1">
        <v>46054.764705879628</v>
      </c>
      <c r="B23" t="s">
        <v>16</v>
      </c>
      <c r="C23" t="s">
        <v>10</v>
      </c>
      <c r="D23">
        <v>4</v>
      </c>
      <c r="E23">
        <v>4000</v>
      </c>
      <c r="F23">
        <v>16000</v>
      </c>
      <c r="G23">
        <v>3944.27</v>
      </c>
    </row>
    <row r="24" spans="1:7" x14ac:dyDescent="0.3">
      <c r="A24" s="1">
        <v>46056.277310925929</v>
      </c>
      <c r="B24" t="s">
        <v>7</v>
      </c>
      <c r="C24" t="s">
        <v>8</v>
      </c>
      <c r="D24">
        <v>7</v>
      </c>
      <c r="E24">
        <v>500</v>
      </c>
      <c r="F24">
        <v>3500</v>
      </c>
      <c r="G24">
        <v>384.32</v>
      </c>
    </row>
    <row r="25" spans="1:7" x14ac:dyDescent="0.3">
      <c r="A25" s="1">
        <v>46057.789915960646</v>
      </c>
      <c r="B25" t="s">
        <v>14</v>
      </c>
      <c r="C25" t="s">
        <v>13</v>
      </c>
      <c r="D25">
        <v>8</v>
      </c>
      <c r="E25">
        <v>6000</v>
      </c>
      <c r="F25">
        <v>48000</v>
      </c>
      <c r="G25">
        <v>3980.03</v>
      </c>
    </row>
    <row r="26" spans="1:7" x14ac:dyDescent="0.3">
      <c r="A26" s="1">
        <v>46059.302521006946</v>
      </c>
      <c r="B26" t="s">
        <v>15</v>
      </c>
      <c r="C26" t="s">
        <v>13</v>
      </c>
      <c r="D26">
        <v>1</v>
      </c>
      <c r="E26">
        <v>4000</v>
      </c>
      <c r="F26">
        <v>4000</v>
      </c>
      <c r="G26">
        <v>839.09</v>
      </c>
    </row>
    <row r="27" spans="1:7" x14ac:dyDescent="0.3">
      <c r="A27" s="1">
        <v>46060.81512605324</v>
      </c>
      <c r="B27" t="s">
        <v>9</v>
      </c>
      <c r="C27" t="s">
        <v>8</v>
      </c>
      <c r="D27">
        <v>6</v>
      </c>
      <c r="E27">
        <v>1200</v>
      </c>
      <c r="F27">
        <v>7200</v>
      </c>
      <c r="G27">
        <v>1563.66</v>
      </c>
    </row>
    <row r="28" spans="1:7" x14ac:dyDescent="0.3">
      <c r="A28" s="1">
        <v>46062.327731087964</v>
      </c>
      <c r="B28" t="s">
        <v>7</v>
      </c>
      <c r="C28" t="s">
        <v>13</v>
      </c>
      <c r="D28">
        <v>8</v>
      </c>
      <c r="E28">
        <v>2500</v>
      </c>
      <c r="F28">
        <v>20000</v>
      </c>
      <c r="G28">
        <v>2777.43</v>
      </c>
    </row>
    <row r="29" spans="1:7" x14ac:dyDescent="0.3">
      <c r="A29" s="1">
        <v>46063.840336134257</v>
      </c>
      <c r="B29" t="s">
        <v>16</v>
      </c>
      <c r="C29" t="s">
        <v>13</v>
      </c>
      <c r="D29">
        <v>5</v>
      </c>
      <c r="E29">
        <v>500</v>
      </c>
      <c r="F29">
        <v>2500</v>
      </c>
      <c r="G29">
        <v>397.49</v>
      </c>
    </row>
    <row r="30" spans="1:7" x14ac:dyDescent="0.3">
      <c r="A30" s="1">
        <v>46065.352941180558</v>
      </c>
      <c r="B30" t="s">
        <v>16</v>
      </c>
      <c r="C30" t="s">
        <v>10</v>
      </c>
      <c r="D30">
        <v>4</v>
      </c>
      <c r="E30">
        <v>2500</v>
      </c>
      <c r="F30">
        <v>10000</v>
      </c>
      <c r="G30">
        <v>1904.62</v>
      </c>
    </row>
    <row r="31" spans="1:7" x14ac:dyDescent="0.3">
      <c r="A31" s="1">
        <v>46066.865546215275</v>
      </c>
      <c r="B31" t="s">
        <v>11</v>
      </c>
      <c r="C31" t="s">
        <v>13</v>
      </c>
      <c r="D31">
        <v>2</v>
      </c>
      <c r="E31">
        <v>4000</v>
      </c>
      <c r="F31">
        <v>8000</v>
      </c>
      <c r="G31">
        <v>705.36</v>
      </c>
    </row>
    <row r="32" spans="1:7" x14ac:dyDescent="0.3">
      <c r="A32" s="1">
        <v>46068.378151261575</v>
      </c>
      <c r="B32" t="s">
        <v>11</v>
      </c>
      <c r="C32" t="s">
        <v>13</v>
      </c>
      <c r="D32">
        <v>6</v>
      </c>
      <c r="E32">
        <v>4000</v>
      </c>
      <c r="F32">
        <v>24000</v>
      </c>
      <c r="G32">
        <v>5792.51</v>
      </c>
    </row>
    <row r="33" spans="1:7" x14ac:dyDescent="0.3">
      <c r="A33" s="1">
        <v>46069.890756307868</v>
      </c>
      <c r="B33" t="s">
        <v>14</v>
      </c>
      <c r="C33" t="s">
        <v>8</v>
      </c>
      <c r="D33">
        <v>6</v>
      </c>
      <c r="E33">
        <v>500</v>
      </c>
      <c r="F33">
        <v>3000</v>
      </c>
      <c r="G33">
        <v>692.21</v>
      </c>
    </row>
    <row r="34" spans="1:7" x14ac:dyDescent="0.3">
      <c r="A34" s="1">
        <v>46071.403361342593</v>
      </c>
      <c r="B34" t="s">
        <v>7</v>
      </c>
      <c r="C34" t="s">
        <v>8</v>
      </c>
      <c r="D34">
        <v>1</v>
      </c>
      <c r="E34">
        <v>1200</v>
      </c>
      <c r="F34">
        <v>1200</v>
      </c>
      <c r="G34">
        <v>149.22</v>
      </c>
    </row>
    <row r="35" spans="1:7" x14ac:dyDescent="0.3">
      <c r="A35" s="1">
        <v>46072.915966388886</v>
      </c>
      <c r="B35" t="s">
        <v>7</v>
      </c>
      <c r="C35" t="s">
        <v>12</v>
      </c>
      <c r="D35">
        <v>9</v>
      </c>
      <c r="E35">
        <v>800</v>
      </c>
      <c r="F35">
        <v>7200</v>
      </c>
      <c r="G35">
        <v>594.73</v>
      </c>
    </row>
    <row r="36" spans="1:7" x14ac:dyDescent="0.3">
      <c r="A36" s="1">
        <v>46074.42857142361</v>
      </c>
      <c r="B36" t="s">
        <v>15</v>
      </c>
      <c r="C36" t="s">
        <v>10</v>
      </c>
      <c r="D36">
        <v>6</v>
      </c>
      <c r="E36">
        <v>500</v>
      </c>
      <c r="F36">
        <v>3000</v>
      </c>
      <c r="G36">
        <v>716.05</v>
      </c>
    </row>
    <row r="37" spans="1:7" x14ac:dyDescent="0.3">
      <c r="A37" s="1">
        <v>46075.941176469911</v>
      </c>
      <c r="B37" t="s">
        <v>15</v>
      </c>
      <c r="C37" t="s">
        <v>13</v>
      </c>
      <c r="D37">
        <v>3</v>
      </c>
      <c r="E37">
        <v>800</v>
      </c>
      <c r="F37">
        <v>2400</v>
      </c>
      <c r="G37">
        <v>396.42</v>
      </c>
    </row>
    <row r="38" spans="1:7" x14ac:dyDescent="0.3">
      <c r="A38" s="1">
        <v>46077.453781516204</v>
      </c>
      <c r="B38" t="s">
        <v>15</v>
      </c>
      <c r="C38" t="s">
        <v>13</v>
      </c>
      <c r="D38">
        <v>4</v>
      </c>
      <c r="E38">
        <v>6000</v>
      </c>
      <c r="F38">
        <v>24000</v>
      </c>
      <c r="G38">
        <v>4120.66</v>
      </c>
    </row>
    <row r="39" spans="1:7" x14ac:dyDescent="0.3">
      <c r="A39" s="1">
        <v>46078.966386550928</v>
      </c>
      <c r="B39" t="s">
        <v>11</v>
      </c>
      <c r="C39" t="s">
        <v>12</v>
      </c>
      <c r="D39">
        <v>4</v>
      </c>
      <c r="E39">
        <v>800</v>
      </c>
      <c r="F39">
        <v>3200</v>
      </c>
      <c r="G39">
        <v>628.08000000000004</v>
      </c>
    </row>
    <row r="40" spans="1:7" x14ac:dyDescent="0.3">
      <c r="A40" s="1">
        <v>46080.478991597221</v>
      </c>
      <c r="B40" t="s">
        <v>7</v>
      </c>
      <c r="C40" t="s">
        <v>13</v>
      </c>
      <c r="D40">
        <v>3</v>
      </c>
      <c r="E40">
        <v>1200</v>
      </c>
      <c r="F40">
        <v>3600</v>
      </c>
      <c r="G40">
        <v>664.9</v>
      </c>
    </row>
    <row r="41" spans="1:7" x14ac:dyDescent="0.3">
      <c r="A41" s="1">
        <v>46081.991596643522</v>
      </c>
      <c r="B41" t="s">
        <v>7</v>
      </c>
      <c r="C41" t="s">
        <v>10</v>
      </c>
      <c r="D41">
        <v>10</v>
      </c>
      <c r="E41">
        <v>6000</v>
      </c>
      <c r="F41">
        <v>60000</v>
      </c>
      <c r="G41">
        <v>14427.69</v>
      </c>
    </row>
    <row r="42" spans="1:7" x14ac:dyDescent="0.3">
      <c r="A42" s="1">
        <v>46083.504201678239</v>
      </c>
      <c r="B42" t="s">
        <v>16</v>
      </c>
      <c r="C42" t="s">
        <v>12</v>
      </c>
      <c r="D42">
        <v>3</v>
      </c>
      <c r="E42">
        <v>800</v>
      </c>
      <c r="F42">
        <v>2400</v>
      </c>
      <c r="G42">
        <v>577.25</v>
      </c>
    </row>
    <row r="43" spans="1:7" x14ac:dyDescent="0.3">
      <c r="A43" s="1">
        <v>46085.016806724539</v>
      </c>
      <c r="B43" t="s">
        <v>11</v>
      </c>
      <c r="C43" t="s">
        <v>10</v>
      </c>
      <c r="D43">
        <v>3</v>
      </c>
      <c r="E43">
        <v>6000</v>
      </c>
      <c r="F43">
        <v>18000</v>
      </c>
      <c r="G43">
        <v>4093.63</v>
      </c>
    </row>
    <row r="44" spans="1:7" x14ac:dyDescent="0.3">
      <c r="A44" s="1">
        <v>46086.529411759257</v>
      </c>
      <c r="B44" t="s">
        <v>9</v>
      </c>
      <c r="C44" t="s">
        <v>12</v>
      </c>
      <c r="D44">
        <v>4</v>
      </c>
      <c r="E44">
        <v>800</v>
      </c>
      <c r="F44">
        <v>3200</v>
      </c>
      <c r="G44">
        <v>602.20000000000005</v>
      </c>
    </row>
    <row r="45" spans="1:7" x14ac:dyDescent="0.3">
      <c r="A45" s="1">
        <v>46088.042016805557</v>
      </c>
      <c r="B45" t="s">
        <v>11</v>
      </c>
      <c r="C45" t="s">
        <v>12</v>
      </c>
      <c r="D45">
        <v>7</v>
      </c>
      <c r="E45">
        <v>1200</v>
      </c>
      <c r="F45">
        <v>8400</v>
      </c>
      <c r="G45">
        <v>1815.76</v>
      </c>
    </row>
    <row r="46" spans="1:7" x14ac:dyDescent="0.3">
      <c r="A46" s="1">
        <v>46089.55462185185</v>
      </c>
      <c r="B46" t="s">
        <v>9</v>
      </c>
      <c r="C46" t="s">
        <v>8</v>
      </c>
      <c r="D46">
        <v>4</v>
      </c>
      <c r="E46">
        <v>800</v>
      </c>
      <c r="F46">
        <v>3200</v>
      </c>
      <c r="G46">
        <v>624.38</v>
      </c>
    </row>
    <row r="47" spans="1:7" x14ac:dyDescent="0.3">
      <c r="A47" s="1">
        <v>46091.067226886575</v>
      </c>
      <c r="B47" t="s">
        <v>16</v>
      </c>
      <c r="C47" t="s">
        <v>10</v>
      </c>
      <c r="D47">
        <v>9</v>
      </c>
      <c r="E47">
        <v>800</v>
      </c>
      <c r="F47">
        <v>7200</v>
      </c>
      <c r="G47">
        <v>1277.8</v>
      </c>
    </row>
    <row r="48" spans="1:7" x14ac:dyDescent="0.3">
      <c r="A48" s="1">
        <v>46092.579831932868</v>
      </c>
      <c r="B48" t="s">
        <v>14</v>
      </c>
      <c r="C48" t="s">
        <v>13</v>
      </c>
      <c r="D48">
        <v>1</v>
      </c>
      <c r="E48">
        <v>800</v>
      </c>
      <c r="F48">
        <v>800</v>
      </c>
      <c r="G48">
        <v>81.48</v>
      </c>
    </row>
    <row r="49" spans="1:7" x14ac:dyDescent="0.3">
      <c r="A49" s="1">
        <v>46094.092436979168</v>
      </c>
      <c r="B49" t="s">
        <v>7</v>
      </c>
      <c r="C49" t="s">
        <v>13</v>
      </c>
      <c r="D49">
        <v>8</v>
      </c>
      <c r="E49">
        <v>500</v>
      </c>
      <c r="F49">
        <v>4000</v>
      </c>
      <c r="G49">
        <v>871.62</v>
      </c>
    </row>
    <row r="50" spans="1:7" x14ac:dyDescent="0.3">
      <c r="A50" s="1">
        <v>46095.605042013885</v>
      </c>
      <c r="B50" t="s">
        <v>16</v>
      </c>
      <c r="C50" t="s">
        <v>10</v>
      </c>
      <c r="D50">
        <v>7</v>
      </c>
      <c r="E50">
        <v>500</v>
      </c>
      <c r="F50">
        <v>3500</v>
      </c>
      <c r="G50">
        <v>768.28</v>
      </c>
    </row>
    <row r="51" spans="1:7" x14ac:dyDescent="0.3">
      <c r="A51" s="1">
        <v>46097.117647060186</v>
      </c>
      <c r="B51" t="s">
        <v>7</v>
      </c>
      <c r="C51" t="s">
        <v>13</v>
      </c>
      <c r="D51">
        <v>2</v>
      </c>
      <c r="E51">
        <v>500</v>
      </c>
      <c r="F51">
        <v>1000</v>
      </c>
      <c r="G51">
        <v>186.41</v>
      </c>
    </row>
    <row r="52" spans="1:7" x14ac:dyDescent="0.3">
      <c r="A52" s="1">
        <v>46098.630252106479</v>
      </c>
      <c r="B52" t="s">
        <v>15</v>
      </c>
      <c r="C52" t="s">
        <v>13</v>
      </c>
      <c r="D52">
        <v>8</v>
      </c>
      <c r="E52">
        <v>1200</v>
      </c>
      <c r="F52">
        <v>9600</v>
      </c>
      <c r="G52">
        <v>2106.94</v>
      </c>
    </row>
    <row r="53" spans="1:7" x14ac:dyDescent="0.3">
      <c r="A53" s="1">
        <v>46100.142857141203</v>
      </c>
      <c r="B53" t="s">
        <v>14</v>
      </c>
      <c r="C53" t="s">
        <v>10</v>
      </c>
      <c r="D53">
        <v>1</v>
      </c>
      <c r="E53">
        <v>6000</v>
      </c>
      <c r="F53">
        <v>6000</v>
      </c>
      <c r="G53">
        <v>1144.51</v>
      </c>
    </row>
    <row r="54" spans="1:7" x14ac:dyDescent="0.3">
      <c r="A54" s="1">
        <v>46101.655462187497</v>
      </c>
      <c r="B54" t="s">
        <v>14</v>
      </c>
      <c r="C54" t="s">
        <v>12</v>
      </c>
      <c r="D54">
        <v>9</v>
      </c>
      <c r="E54">
        <v>4000</v>
      </c>
      <c r="F54">
        <v>36000</v>
      </c>
      <c r="G54">
        <v>4144.91</v>
      </c>
    </row>
    <row r="55" spans="1:7" x14ac:dyDescent="0.3">
      <c r="A55" s="1">
        <v>46103.168067222221</v>
      </c>
      <c r="B55" t="s">
        <v>16</v>
      </c>
      <c r="C55" t="s">
        <v>10</v>
      </c>
      <c r="D55">
        <v>9</v>
      </c>
      <c r="E55">
        <v>800</v>
      </c>
      <c r="F55">
        <v>7200</v>
      </c>
      <c r="G55">
        <v>911.33</v>
      </c>
    </row>
    <row r="56" spans="1:7" x14ac:dyDescent="0.3">
      <c r="A56" s="1">
        <v>46104.680672268521</v>
      </c>
      <c r="B56" t="s">
        <v>14</v>
      </c>
      <c r="C56" t="s">
        <v>12</v>
      </c>
      <c r="D56">
        <v>2</v>
      </c>
      <c r="E56">
        <v>800</v>
      </c>
      <c r="F56">
        <v>1600</v>
      </c>
      <c r="G56">
        <v>186.37</v>
      </c>
    </row>
    <row r="57" spans="1:7" x14ac:dyDescent="0.3">
      <c r="A57" s="1">
        <v>46106.193277314815</v>
      </c>
      <c r="B57" t="s">
        <v>9</v>
      </c>
      <c r="C57" t="s">
        <v>13</v>
      </c>
      <c r="D57">
        <v>7</v>
      </c>
      <c r="E57">
        <v>1200</v>
      </c>
      <c r="F57">
        <v>8400</v>
      </c>
      <c r="G57">
        <v>1210.73</v>
      </c>
    </row>
    <row r="58" spans="1:7" x14ac:dyDescent="0.3">
      <c r="A58" s="1">
        <v>46107.705882349539</v>
      </c>
      <c r="B58" t="s">
        <v>14</v>
      </c>
      <c r="C58" t="s">
        <v>13</v>
      </c>
      <c r="D58">
        <v>10</v>
      </c>
      <c r="E58">
        <v>800</v>
      </c>
      <c r="F58">
        <v>8000</v>
      </c>
      <c r="G58">
        <v>692.99</v>
      </c>
    </row>
    <row r="59" spans="1:7" x14ac:dyDescent="0.3">
      <c r="A59" s="1">
        <v>46109.218487395832</v>
      </c>
      <c r="B59" t="s">
        <v>7</v>
      </c>
      <c r="C59" t="s">
        <v>13</v>
      </c>
      <c r="D59">
        <v>3</v>
      </c>
      <c r="E59">
        <v>500</v>
      </c>
      <c r="F59">
        <v>1500</v>
      </c>
      <c r="G59">
        <v>277.64999999999998</v>
      </c>
    </row>
    <row r="60" spans="1:7" x14ac:dyDescent="0.3">
      <c r="A60" s="1">
        <v>46110.731092442133</v>
      </c>
      <c r="B60" t="s">
        <v>7</v>
      </c>
      <c r="C60" t="s">
        <v>8</v>
      </c>
      <c r="D60">
        <v>7</v>
      </c>
      <c r="E60">
        <v>4000</v>
      </c>
      <c r="F60">
        <v>28000</v>
      </c>
      <c r="G60">
        <v>3842</v>
      </c>
    </row>
    <row r="61" spans="1:7" x14ac:dyDescent="0.3">
      <c r="A61" s="1">
        <v>46112.24369747685</v>
      </c>
      <c r="B61" t="s">
        <v>7</v>
      </c>
      <c r="C61" t="s">
        <v>12</v>
      </c>
      <c r="D61">
        <v>10</v>
      </c>
      <c r="E61">
        <v>2500</v>
      </c>
      <c r="F61">
        <v>25000</v>
      </c>
      <c r="G61">
        <v>4786.82</v>
      </c>
    </row>
    <row r="62" spans="1:7" x14ac:dyDescent="0.3">
      <c r="A62" s="1">
        <v>46113.75630252315</v>
      </c>
      <c r="B62" t="s">
        <v>7</v>
      </c>
      <c r="C62" t="s">
        <v>8</v>
      </c>
      <c r="D62">
        <v>9</v>
      </c>
      <c r="E62">
        <v>800</v>
      </c>
      <c r="F62">
        <v>7200</v>
      </c>
      <c r="G62">
        <v>1047.73</v>
      </c>
    </row>
    <row r="63" spans="1:7" x14ac:dyDescent="0.3">
      <c r="A63" s="1">
        <v>46115.268907557867</v>
      </c>
      <c r="B63" t="s">
        <v>9</v>
      </c>
      <c r="C63" t="s">
        <v>8</v>
      </c>
      <c r="D63">
        <v>4</v>
      </c>
      <c r="E63">
        <v>500</v>
      </c>
      <c r="F63">
        <v>2000</v>
      </c>
      <c r="G63">
        <v>391.75</v>
      </c>
    </row>
    <row r="64" spans="1:7" x14ac:dyDescent="0.3">
      <c r="A64" s="1">
        <v>46116.781512604168</v>
      </c>
      <c r="B64" t="s">
        <v>11</v>
      </c>
      <c r="C64" t="s">
        <v>10</v>
      </c>
      <c r="D64">
        <v>1</v>
      </c>
      <c r="E64">
        <v>2500</v>
      </c>
      <c r="F64">
        <v>2500</v>
      </c>
      <c r="G64">
        <v>344.77</v>
      </c>
    </row>
    <row r="65" spans="1:7" x14ac:dyDescent="0.3">
      <c r="A65" s="1">
        <v>46118.294117650461</v>
      </c>
      <c r="B65" t="s">
        <v>15</v>
      </c>
      <c r="C65" t="s">
        <v>8</v>
      </c>
      <c r="D65">
        <v>2</v>
      </c>
      <c r="E65">
        <v>4000</v>
      </c>
      <c r="F65">
        <v>8000</v>
      </c>
      <c r="G65">
        <v>994.54</v>
      </c>
    </row>
    <row r="66" spans="1:7" x14ac:dyDescent="0.3">
      <c r="A66" s="1">
        <v>46119.806722685185</v>
      </c>
      <c r="B66" t="s">
        <v>16</v>
      </c>
      <c r="C66" t="s">
        <v>10</v>
      </c>
      <c r="D66">
        <v>1</v>
      </c>
      <c r="E66">
        <v>2500</v>
      </c>
      <c r="F66">
        <v>2500</v>
      </c>
      <c r="G66">
        <v>410.82</v>
      </c>
    </row>
    <row r="67" spans="1:7" x14ac:dyDescent="0.3">
      <c r="A67" s="1">
        <v>46121.319327731479</v>
      </c>
      <c r="B67" t="s">
        <v>7</v>
      </c>
      <c r="C67" t="s">
        <v>10</v>
      </c>
      <c r="D67">
        <v>5</v>
      </c>
      <c r="E67">
        <v>500</v>
      </c>
      <c r="F67">
        <v>2500</v>
      </c>
      <c r="G67">
        <v>494.48</v>
      </c>
    </row>
    <row r="68" spans="1:7" x14ac:dyDescent="0.3">
      <c r="A68" s="1">
        <v>46122.831932777779</v>
      </c>
      <c r="B68" t="s">
        <v>14</v>
      </c>
      <c r="C68" t="s">
        <v>8</v>
      </c>
      <c r="D68">
        <v>5</v>
      </c>
      <c r="E68">
        <v>6000</v>
      </c>
      <c r="F68">
        <v>30000</v>
      </c>
      <c r="G68">
        <v>4176.5200000000004</v>
      </c>
    </row>
    <row r="69" spans="1:7" x14ac:dyDescent="0.3">
      <c r="A69" s="1">
        <v>46124.344537812503</v>
      </c>
      <c r="B69" t="s">
        <v>7</v>
      </c>
      <c r="C69" t="s">
        <v>12</v>
      </c>
      <c r="D69">
        <v>7</v>
      </c>
      <c r="E69">
        <v>6000</v>
      </c>
      <c r="F69">
        <v>42000</v>
      </c>
      <c r="G69">
        <v>10047.67</v>
      </c>
    </row>
    <row r="70" spans="1:7" x14ac:dyDescent="0.3">
      <c r="A70" s="1">
        <v>46125.857142858797</v>
      </c>
      <c r="B70" t="s">
        <v>14</v>
      </c>
      <c r="C70" t="s">
        <v>12</v>
      </c>
      <c r="D70">
        <v>9</v>
      </c>
      <c r="E70">
        <v>2500</v>
      </c>
      <c r="F70">
        <v>22500</v>
      </c>
      <c r="G70">
        <v>1949.89</v>
      </c>
    </row>
    <row r="71" spans="1:7" x14ac:dyDescent="0.3">
      <c r="A71" s="1">
        <v>46127.369747893521</v>
      </c>
      <c r="B71" t="s">
        <v>15</v>
      </c>
      <c r="C71" t="s">
        <v>12</v>
      </c>
      <c r="D71">
        <v>9</v>
      </c>
      <c r="E71">
        <v>1200</v>
      </c>
      <c r="F71">
        <v>10800</v>
      </c>
      <c r="G71">
        <v>1631.35</v>
      </c>
    </row>
    <row r="72" spans="1:7" x14ac:dyDescent="0.3">
      <c r="A72" s="1">
        <v>46128.882352939814</v>
      </c>
      <c r="B72" t="s">
        <v>15</v>
      </c>
      <c r="C72" t="s">
        <v>12</v>
      </c>
      <c r="D72">
        <v>3</v>
      </c>
      <c r="E72">
        <v>2500</v>
      </c>
      <c r="F72">
        <v>7500</v>
      </c>
      <c r="G72">
        <v>1833.67</v>
      </c>
    </row>
    <row r="73" spans="1:7" x14ac:dyDescent="0.3">
      <c r="A73" s="1">
        <v>46130.394957986115</v>
      </c>
      <c r="B73" t="s">
        <v>15</v>
      </c>
      <c r="C73" t="s">
        <v>12</v>
      </c>
      <c r="D73">
        <v>3</v>
      </c>
      <c r="E73">
        <v>800</v>
      </c>
      <c r="F73">
        <v>2400</v>
      </c>
      <c r="G73">
        <v>415.57</v>
      </c>
    </row>
    <row r="74" spans="1:7" x14ac:dyDescent="0.3">
      <c r="A74" s="1">
        <v>46131.907563020832</v>
      </c>
      <c r="B74" t="s">
        <v>14</v>
      </c>
      <c r="C74" t="s">
        <v>8</v>
      </c>
      <c r="D74">
        <v>3</v>
      </c>
      <c r="E74">
        <v>800</v>
      </c>
      <c r="F74">
        <v>2400</v>
      </c>
      <c r="G74">
        <v>364.78</v>
      </c>
    </row>
    <row r="75" spans="1:7" x14ac:dyDescent="0.3">
      <c r="A75" s="1">
        <v>46133.420168067132</v>
      </c>
      <c r="B75" t="s">
        <v>7</v>
      </c>
      <c r="C75" t="s">
        <v>8</v>
      </c>
      <c r="D75">
        <v>4</v>
      </c>
      <c r="E75">
        <v>6000</v>
      </c>
      <c r="F75">
        <v>24000</v>
      </c>
      <c r="G75">
        <v>4239.5600000000004</v>
      </c>
    </row>
    <row r="76" spans="1:7" x14ac:dyDescent="0.3">
      <c r="A76" s="1">
        <v>46134.932773113425</v>
      </c>
      <c r="B76" t="s">
        <v>15</v>
      </c>
      <c r="C76" t="s">
        <v>13</v>
      </c>
      <c r="D76">
        <v>8</v>
      </c>
      <c r="E76">
        <v>1200</v>
      </c>
      <c r="F76">
        <v>9600</v>
      </c>
      <c r="G76">
        <v>1707.91</v>
      </c>
    </row>
    <row r="77" spans="1:7" x14ac:dyDescent="0.3">
      <c r="A77" s="1">
        <v>46136.44537814815</v>
      </c>
      <c r="B77" t="s">
        <v>9</v>
      </c>
      <c r="C77" t="s">
        <v>12</v>
      </c>
      <c r="D77">
        <v>6</v>
      </c>
      <c r="E77">
        <v>500</v>
      </c>
      <c r="F77">
        <v>3000</v>
      </c>
      <c r="G77">
        <v>613.14</v>
      </c>
    </row>
    <row r="78" spans="1:7" x14ac:dyDescent="0.3">
      <c r="A78" s="1">
        <v>46137.957983194443</v>
      </c>
      <c r="B78" t="s">
        <v>14</v>
      </c>
      <c r="C78" t="s">
        <v>8</v>
      </c>
      <c r="D78">
        <v>8</v>
      </c>
      <c r="E78">
        <v>800</v>
      </c>
      <c r="F78">
        <v>6400</v>
      </c>
      <c r="G78">
        <v>650.92999999999995</v>
      </c>
    </row>
    <row r="79" spans="1:7" x14ac:dyDescent="0.3">
      <c r="A79" s="1">
        <v>46139.470588240743</v>
      </c>
      <c r="B79" t="s">
        <v>14</v>
      </c>
      <c r="C79" t="s">
        <v>13</v>
      </c>
      <c r="D79">
        <v>1</v>
      </c>
      <c r="E79">
        <v>6000</v>
      </c>
      <c r="F79">
        <v>6000</v>
      </c>
      <c r="G79">
        <v>735.02</v>
      </c>
    </row>
    <row r="80" spans="1:7" x14ac:dyDescent="0.3">
      <c r="A80" s="1">
        <v>46140.983193275461</v>
      </c>
      <c r="B80" t="s">
        <v>7</v>
      </c>
      <c r="C80" t="s">
        <v>12</v>
      </c>
      <c r="D80">
        <v>8</v>
      </c>
      <c r="E80">
        <v>4000</v>
      </c>
      <c r="F80">
        <v>32000</v>
      </c>
      <c r="G80">
        <v>5718.16</v>
      </c>
    </row>
    <row r="81" spans="1:7" x14ac:dyDescent="0.3">
      <c r="A81" s="1">
        <v>46142.495798321761</v>
      </c>
      <c r="B81" t="s">
        <v>14</v>
      </c>
      <c r="C81" t="s">
        <v>10</v>
      </c>
      <c r="D81">
        <v>4</v>
      </c>
      <c r="E81">
        <v>6000</v>
      </c>
      <c r="F81">
        <v>24000</v>
      </c>
      <c r="G81">
        <v>5457.84</v>
      </c>
    </row>
    <row r="82" spans="1:7" x14ac:dyDescent="0.3">
      <c r="A82" s="1">
        <v>46144.008403356478</v>
      </c>
      <c r="B82" t="s">
        <v>14</v>
      </c>
      <c r="C82" t="s">
        <v>13</v>
      </c>
      <c r="D82">
        <v>1</v>
      </c>
      <c r="E82">
        <v>800</v>
      </c>
      <c r="F82">
        <v>800</v>
      </c>
      <c r="G82">
        <v>140.41</v>
      </c>
    </row>
    <row r="83" spans="1:7" x14ac:dyDescent="0.3">
      <c r="A83" s="1">
        <v>46145.521008402779</v>
      </c>
      <c r="B83" t="s">
        <v>15</v>
      </c>
      <c r="C83" t="s">
        <v>8</v>
      </c>
      <c r="D83">
        <v>8</v>
      </c>
      <c r="E83">
        <v>800</v>
      </c>
      <c r="F83">
        <v>6400</v>
      </c>
      <c r="G83">
        <v>771.59</v>
      </c>
    </row>
    <row r="84" spans="1:7" x14ac:dyDescent="0.3">
      <c r="A84" s="1">
        <v>46147.033613449072</v>
      </c>
      <c r="B84" t="s">
        <v>7</v>
      </c>
      <c r="C84" t="s">
        <v>10</v>
      </c>
      <c r="D84">
        <v>4</v>
      </c>
      <c r="E84">
        <v>6000</v>
      </c>
      <c r="F84">
        <v>24000</v>
      </c>
      <c r="G84">
        <v>4693.7700000000004</v>
      </c>
    </row>
    <row r="85" spans="1:7" x14ac:dyDescent="0.3">
      <c r="A85" s="1">
        <v>46148.546218483796</v>
      </c>
      <c r="B85" t="s">
        <v>15</v>
      </c>
      <c r="C85" t="s">
        <v>10</v>
      </c>
      <c r="D85">
        <v>6</v>
      </c>
      <c r="E85">
        <v>500</v>
      </c>
      <c r="F85">
        <v>3000</v>
      </c>
      <c r="G85">
        <v>617.35</v>
      </c>
    </row>
    <row r="86" spans="1:7" x14ac:dyDescent="0.3">
      <c r="A86" s="1">
        <v>46150.058823530089</v>
      </c>
      <c r="B86" t="s">
        <v>15</v>
      </c>
      <c r="C86" t="s">
        <v>10</v>
      </c>
      <c r="D86">
        <v>8</v>
      </c>
      <c r="E86">
        <v>2500</v>
      </c>
      <c r="F86">
        <v>20000</v>
      </c>
      <c r="G86">
        <v>2410</v>
      </c>
    </row>
    <row r="87" spans="1:7" x14ac:dyDescent="0.3">
      <c r="A87" s="1">
        <v>46151.57142857639</v>
      </c>
      <c r="B87" t="s">
        <v>7</v>
      </c>
      <c r="C87" t="s">
        <v>13</v>
      </c>
      <c r="D87">
        <v>4</v>
      </c>
      <c r="E87">
        <v>800</v>
      </c>
      <c r="F87">
        <v>3200</v>
      </c>
      <c r="G87">
        <v>461.48</v>
      </c>
    </row>
    <row r="88" spans="1:7" x14ac:dyDescent="0.3">
      <c r="A88" s="1">
        <v>46153.084033611114</v>
      </c>
      <c r="B88" t="s">
        <v>16</v>
      </c>
      <c r="C88" t="s">
        <v>8</v>
      </c>
      <c r="D88">
        <v>3</v>
      </c>
      <c r="E88">
        <v>6000</v>
      </c>
      <c r="F88">
        <v>18000</v>
      </c>
      <c r="G88">
        <v>3075.04</v>
      </c>
    </row>
    <row r="89" spans="1:7" x14ac:dyDescent="0.3">
      <c r="A89" s="1">
        <v>46154.596638657407</v>
      </c>
      <c r="B89" t="s">
        <v>15</v>
      </c>
      <c r="C89" t="s">
        <v>10</v>
      </c>
      <c r="D89">
        <v>9</v>
      </c>
      <c r="E89">
        <v>6000</v>
      </c>
      <c r="F89">
        <v>54000</v>
      </c>
      <c r="G89">
        <v>8878.43</v>
      </c>
    </row>
    <row r="90" spans="1:7" x14ac:dyDescent="0.3">
      <c r="A90" s="1">
        <v>46156.109243692132</v>
      </c>
      <c r="B90" t="s">
        <v>9</v>
      </c>
      <c r="C90" t="s">
        <v>12</v>
      </c>
      <c r="D90">
        <v>3</v>
      </c>
      <c r="E90">
        <v>1200</v>
      </c>
      <c r="F90">
        <v>3600</v>
      </c>
      <c r="G90">
        <v>526.45000000000005</v>
      </c>
    </row>
    <row r="91" spans="1:7" x14ac:dyDescent="0.3">
      <c r="A91" s="1">
        <v>46157.621848738425</v>
      </c>
      <c r="B91" t="s">
        <v>9</v>
      </c>
      <c r="C91" t="s">
        <v>10</v>
      </c>
      <c r="D91">
        <v>9</v>
      </c>
      <c r="E91">
        <v>2500</v>
      </c>
      <c r="F91">
        <v>22500</v>
      </c>
      <c r="G91">
        <v>2938.45</v>
      </c>
    </row>
    <row r="92" spans="1:7" x14ac:dyDescent="0.3">
      <c r="A92" s="1">
        <v>46159.134453784725</v>
      </c>
      <c r="B92" t="s">
        <v>14</v>
      </c>
      <c r="C92" t="s">
        <v>10</v>
      </c>
      <c r="D92">
        <v>2</v>
      </c>
      <c r="E92">
        <v>4000</v>
      </c>
      <c r="F92">
        <v>8000</v>
      </c>
      <c r="G92">
        <v>775.98</v>
      </c>
    </row>
    <row r="93" spans="1:7" x14ac:dyDescent="0.3">
      <c r="A93" s="1">
        <v>46160.647058819442</v>
      </c>
      <c r="B93" t="s">
        <v>9</v>
      </c>
      <c r="C93" t="s">
        <v>13</v>
      </c>
      <c r="D93">
        <v>2</v>
      </c>
      <c r="E93">
        <v>500</v>
      </c>
      <c r="F93">
        <v>1000</v>
      </c>
      <c r="G93">
        <v>89.09</v>
      </c>
    </row>
    <row r="94" spans="1:7" x14ac:dyDescent="0.3">
      <c r="A94" s="1">
        <v>46162.159663865743</v>
      </c>
      <c r="B94" t="s">
        <v>14</v>
      </c>
      <c r="C94" t="s">
        <v>13</v>
      </c>
      <c r="D94">
        <v>2</v>
      </c>
      <c r="E94">
        <v>4000</v>
      </c>
      <c r="F94">
        <v>8000</v>
      </c>
      <c r="G94">
        <v>1943.62</v>
      </c>
    </row>
    <row r="95" spans="1:7" x14ac:dyDescent="0.3">
      <c r="A95" s="1">
        <v>46163.672268912036</v>
      </c>
      <c r="B95" t="s">
        <v>16</v>
      </c>
      <c r="C95" t="s">
        <v>8</v>
      </c>
      <c r="D95">
        <v>6</v>
      </c>
      <c r="E95">
        <v>2500</v>
      </c>
      <c r="F95">
        <v>15000</v>
      </c>
      <c r="G95">
        <v>3360.22</v>
      </c>
    </row>
    <row r="96" spans="1:7" x14ac:dyDescent="0.3">
      <c r="A96" s="1">
        <v>46165.18487394676</v>
      </c>
      <c r="B96" t="s">
        <v>7</v>
      </c>
      <c r="C96" t="s">
        <v>12</v>
      </c>
      <c r="D96">
        <v>3</v>
      </c>
      <c r="E96">
        <v>2500</v>
      </c>
      <c r="F96">
        <v>7500</v>
      </c>
      <c r="G96">
        <v>1052.5</v>
      </c>
    </row>
    <row r="97" spans="1:7" x14ac:dyDescent="0.3">
      <c r="A97" s="1">
        <v>46166.697478993054</v>
      </c>
      <c r="B97" t="s">
        <v>7</v>
      </c>
      <c r="C97" t="s">
        <v>13</v>
      </c>
      <c r="D97">
        <v>9</v>
      </c>
      <c r="E97">
        <v>2500</v>
      </c>
      <c r="F97">
        <v>22500</v>
      </c>
      <c r="G97">
        <v>5459.76</v>
      </c>
    </row>
    <row r="98" spans="1:7" x14ac:dyDescent="0.3">
      <c r="A98" s="1">
        <v>46168.210084039354</v>
      </c>
      <c r="B98" t="s">
        <v>7</v>
      </c>
      <c r="C98" t="s">
        <v>10</v>
      </c>
      <c r="D98">
        <v>4</v>
      </c>
      <c r="E98">
        <v>4000</v>
      </c>
      <c r="F98">
        <v>16000</v>
      </c>
      <c r="G98">
        <v>3120.81</v>
      </c>
    </row>
    <row r="99" spans="1:7" x14ac:dyDescent="0.3">
      <c r="A99" s="1">
        <v>46169.722689074071</v>
      </c>
      <c r="B99" t="s">
        <v>9</v>
      </c>
      <c r="C99" t="s">
        <v>8</v>
      </c>
      <c r="D99">
        <v>1</v>
      </c>
      <c r="E99">
        <v>2500</v>
      </c>
      <c r="F99">
        <v>2500</v>
      </c>
      <c r="G99">
        <v>405.07</v>
      </c>
    </row>
    <row r="100" spans="1:7" x14ac:dyDescent="0.3">
      <c r="A100" s="1">
        <v>46171.235294120372</v>
      </c>
      <c r="B100" t="s">
        <v>16</v>
      </c>
      <c r="C100" t="s">
        <v>10</v>
      </c>
      <c r="D100">
        <v>4</v>
      </c>
      <c r="E100">
        <v>6000</v>
      </c>
      <c r="F100">
        <v>24000</v>
      </c>
      <c r="G100">
        <v>3931.54</v>
      </c>
    </row>
    <row r="101" spans="1:7" x14ac:dyDescent="0.3">
      <c r="A101" s="1">
        <v>46172.747899155096</v>
      </c>
      <c r="B101" t="s">
        <v>9</v>
      </c>
      <c r="C101" t="s">
        <v>10</v>
      </c>
      <c r="D101">
        <v>1</v>
      </c>
      <c r="E101">
        <v>4000</v>
      </c>
      <c r="F101">
        <v>4000</v>
      </c>
      <c r="G101">
        <v>376.63</v>
      </c>
    </row>
    <row r="102" spans="1:7" x14ac:dyDescent="0.3">
      <c r="A102" s="1">
        <v>46174.260504201389</v>
      </c>
      <c r="B102" t="s">
        <v>9</v>
      </c>
      <c r="C102" t="s">
        <v>13</v>
      </c>
      <c r="D102">
        <v>5</v>
      </c>
      <c r="E102">
        <v>2500</v>
      </c>
      <c r="F102">
        <v>12500</v>
      </c>
      <c r="G102">
        <v>1194.8699999999999</v>
      </c>
    </row>
    <row r="103" spans="1:7" x14ac:dyDescent="0.3">
      <c r="A103" s="1">
        <v>46175.773109247682</v>
      </c>
      <c r="B103" t="s">
        <v>16</v>
      </c>
      <c r="C103" t="s">
        <v>8</v>
      </c>
      <c r="D103">
        <v>4</v>
      </c>
      <c r="E103">
        <v>6000</v>
      </c>
      <c r="F103">
        <v>24000</v>
      </c>
      <c r="G103">
        <v>4377.96</v>
      </c>
    </row>
    <row r="104" spans="1:7" x14ac:dyDescent="0.3">
      <c r="A104" s="1">
        <v>46177.285714282407</v>
      </c>
      <c r="B104" t="s">
        <v>16</v>
      </c>
      <c r="C104" t="s">
        <v>12</v>
      </c>
      <c r="D104">
        <v>8</v>
      </c>
      <c r="E104">
        <v>1200</v>
      </c>
      <c r="F104">
        <v>9600</v>
      </c>
      <c r="G104">
        <v>1671.64</v>
      </c>
    </row>
    <row r="105" spans="1:7" x14ac:dyDescent="0.3">
      <c r="A105" s="1">
        <v>46178.798319328707</v>
      </c>
      <c r="B105" t="s">
        <v>16</v>
      </c>
      <c r="C105" t="s">
        <v>12</v>
      </c>
      <c r="D105">
        <v>8</v>
      </c>
      <c r="E105">
        <v>2500</v>
      </c>
      <c r="F105">
        <v>20000</v>
      </c>
      <c r="G105">
        <v>2323.27</v>
      </c>
    </row>
    <row r="106" spans="1:7" x14ac:dyDescent="0.3">
      <c r="A106" s="1">
        <v>46180.310924375</v>
      </c>
      <c r="B106" t="s">
        <v>16</v>
      </c>
      <c r="C106" t="s">
        <v>13</v>
      </c>
      <c r="D106">
        <v>7</v>
      </c>
      <c r="E106">
        <v>4000</v>
      </c>
      <c r="F106">
        <v>28000</v>
      </c>
      <c r="G106">
        <v>6743.89</v>
      </c>
    </row>
    <row r="107" spans="1:7" x14ac:dyDescent="0.3">
      <c r="A107" s="1">
        <v>46181.823529409725</v>
      </c>
      <c r="B107" t="s">
        <v>7</v>
      </c>
      <c r="C107" t="s">
        <v>13</v>
      </c>
      <c r="D107">
        <v>3</v>
      </c>
      <c r="E107">
        <v>800</v>
      </c>
      <c r="F107">
        <v>2400</v>
      </c>
      <c r="G107">
        <v>510.77</v>
      </c>
    </row>
    <row r="108" spans="1:7" x14ac:dyDescent="0.3">
      <c r="A108" s="1">
        <v>46183.336134456018</v>
      </c>
      <c r="B108" t="s">
        <v>11</v>
      </c>
      <c r="C108" t="s">
        <v>8</v>
      </c>
      <c r="D108">
        <v>1</v>
      </c>
      <c r="E108">
        <v>2500</v>
      </c>
      <c r="F108">
        <v>2500</v>
      </c>
      <c r="G108">
        <v>248.22</v>
      </c>
    </row>
    <row r="109" spans="1:7" x14ac:dyDescent="0.3">
      <c r="A109" s="1">
        <v>46184.848739490742</v>
      </c>
      <c r="B109" t="s">
        <v>11</v>
      </c>
      <c r="C109" t="s">
        <v>12</v>
      </c>
      <c r="D109">
        <v>1</v>
      </c>
      <c r="E109">
        <v>800</v>
      </c>
      <c r="F109">
        <v>800</v>
      </c>
      <c r="G109">
        <v>190.61</v>
      </c>
    </row>
    <row r="110" spans="1:7" x14ac:dyDescent="0.3">
      <c r="A110" s="1">
        <v>46186.361344537036</v>
      </c>
      <c r="B110" t="s">
        <v>16</v>
      </c>
      <c r="C110" t="s">
        <v>12</v>
      </c>
      <c r="D110">
        <v>3</v>
      </c>
      <c r="E110">
        <v>6000</v>
      </c>
      <c r="F110">
        <v>18000</v>
      </c>
      <c r="G110">
        <v>4421.2</v>
      </c>
    </row>
    <row r="111" spans="1:7" x14ac:dyDescent="0.3">
      <c r="A111" s="1">
        <v>46187.873949583336</v>
      </c>
      <c r="B111" t="s">
        <v>11</v>
      </c>
      <c r="C111" t="s">
        <v>12</v>
      </c>
      <c r="D111">
        <v>6</v>
      </c>
      <c r="E111">
        <v>1200</v>
      </c>
      <c r="F111">
        <v>7200</v>
      </c>
      <c r="G111">
        <v>1795.02</v>
      </c>
    </row>
    <row r="112" spans="1:7" x14ac:dyDescent="0.3">
      <c r="A112" s="1">
        <v>46189.386554618053</v>
      </c>
      <c r="B112" t="s">
        <v>11</v>
      </c>
      <c r="C112" t="s">
        <v>10</v>
      </c>
      <c r="D112">
        <v>7</v>
      </c>
      <c r="E112">
        <v>500</v>
      </c>
      <c r="F112">
        <v>3500</v>
      </c>
      <c r="G112">
        <v>313.24</v>
      </c>
    </row>
    <row r="113" spans="1:8" x14ac:dyDescent="0.3">
      <c r="A113" s="1">
        <v>46190.899159664354</v>
      </c>
      <c r="B113" t="s">
        <v>16</v>
      </c>
      <c r="C113" t="s">
        <v>12</v>
      </c>
      <c r="D113">
        <v>6</v>
      </c>
      <c r="E113">
        <v>1200</v>
      </c>
      <c r="F113">
        <v>7200</v>
      </c>
      <c r="G113">
        <v>1478.13</v>
      </c>
    </row>
    <row r="114" spans="1:8" x14ac:dyDescent="0.3">
      <c r="A114" s="1">
        <v>46192.411764710647</v>
      </c>
      <c r="B114" t="s">
        <v>11</v>
      </c>
      <c r="C114" t="s">
        <v>10</v>
      </c>
      <c r="D114">
        <v>6</v>
      </c>
      <c r="E114">
        <v>2500</v>
      </c>
      <c r="F114">
        <v>15000</v>
      </c>
      <c r="G114">
        <v>2592.09</v>
      </c>
    </row>
    <row r="115" spans="1:8" x14ac:dyDescent="0.3">
      <c r="A115" s="1">
        <v>46193.924369745371</v>
      </c>
      <c r="B115" t="s">
        <v>9</v>
      </c>
      <c r="C115" t="s">
        <v>8</v>
      </c>
      <c r="D115">
        <v>6</v>
      </c>
      <c r="E115">
        <v>800</v>
      </c>
      <c r="F115">
        <v>4800</v>
      </c>
      <c r="G115">
        <v>959.96</v>
      </c>
    </row>
    <row r="116" spans="1:8" x14ac:dyDescent="0.3">
      <c r="A116" s="1">
        <v>46195.436974791664</v>
      </c>
      <c r="B116" t="s">
        <v>14</v>
      </c>
      <c r="C116" t="s">
        <v>10</v>
      </c>
      <c r="D116">
        <v>3</v>
      </c>
      <c r="E116">
        <v>800</v>
      </c>
      <c r="F116">
        <v>2400</v>
      </c>
      <c r="G116">
        <v>587.21</v>
      </c>
    </row>
    <row r="117" spans="1:8" x14ac:dyDescent="0.3">
      <c r="A117" s="1">
        <v>46196.949579826389</v>
      </c>
      <c r="B117" t="s">
        <v>14</v>
      </c>
      <c r="C117" t="s">
        <v>8</v>
      </c>
      <c r="D117">
        <v>6</v>
      </c>
      <c r="E117">
        <v>4000</v>
      </c>
      <c r="F117">
        <v>24000</v>
      </c>
      <c r="G117">
        <v>4727.16</v>
      </c>
    </row>
    <row r="118" spans="1:8" x14ac:dyDescent="0.3">
      <c r="A118" s="1">
        <v>46198.462184872682</v>
      </c>
      <c r="B118" t="s">
        <v>16</v>
      </c>
      <c r="C118" t="s">
        <v>12</v>
      </c>
      <c r="D118">
        <v>8</v>
      </c>
      <c r="E118">
        <v>800</v>
      </c>
      <c r="F118">
        <v>6400</v>
      </c>
      <c r="G118">
        <v>1422.62</v>
      </c>
    </row>
    <row r="119" spans="1:8" x14ac:dyDescent="0.3">
      <c r="A119" s="1">
        <v>46199.974789918982</v>
      </c>
      <c r="B119" t="s">
        <v>7</v>
      </c>
      <c r="C119" t="s">
        <v>12</v>
      </c>
      <c r="D119">
        <v>2</v>
      </c>
      <c r="E119">
        <v>4000</v>
      </c>
      <c r="F119">
        <v>8000</v>
      </c>
      <c r="G119">
        <v>1818.94</v>
      </c>
    </row>
    <row r="120" spans="1:8" x14ac:dyDescent="0.3">
      <c r="A120" s="1">
        <v>46201.487394953707</v>
      </c>
      <c r="B120" t="s">
        <v>16</v>
      </c>
      <c r="C120" t="s">
        <v>8</v>
      </c>
      <c r="D120">
        <v>5</v>
      </c>
      <c r="E120">
        <v>6000</v>
      </c>
      <c r="F120">
        <v>30000</v>
      </c>
      <c r="G120">
        <v>6676.25</v>
      </c>
    </row>
    <row r="121" spans="1:8" x14ac:dyDescent="0.3">
      <c r="A121" s="1">
        <v>46203</v>
      </c>
      <c r="B121" t="s">
        <v>7</v>
      </c>
      <c r="C121" t="s">
        <v>13</v>
      </c>
      <c r="D121">
        <v>1</v>
      </c>
      <c r="E121">
        <v>500</v>
      </c>
      <c r="F121">
        <v>500</v>
      </c>
      <c r="G121">
        <v>76.22</v>
      </c>
    </row>
    <row r="123" spans="1:8" x14ac:dyDescent="0.3">
      <c r="F123">
        <f>SUM(F2:F121)</f>
        <v>1372700</v>
      </c>
      <c r="G123">
        <f>SUM(G2:G121)</f>
        <v>236415.53000000003</v>
      </c>
      <c r="H123">
        <f>AVERAGE(F2:F121)</f>
        <v>11439.166666666666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7AA9E-3E74-42FA-A819-40387655F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Sheet5</vt:lpstr>
      <vt:lpstr>dashboard</vt:lpstr>
      <vt:lpstr>sales_data_analysis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Ananthu LAL A S</dc:creator>
  <cp:lastModifiedBy>Ananthu LAL A S</cp:lastModifiedBy>
  <dcterms:created xsi:type="dcterms:W3CDTF">2026-09-17T15:09:46Z</dcterms:created>
  <dcterms:modified xsi:type="dcterms:W3CDTF">2026-09-17T17:31:41Z</dcterms:modified>
</cp:coreProperties>
</file>